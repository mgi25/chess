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jabdaGames\chess\"/>
    </mc:Choice>
  </mc:AlternateContent>
  <xr:revisionPtr revIDLastSave="0" documentId="13_ncr:1_{6FF4524F-3A26-440F-A679-4FBCB4000204}" xr6:coauthVersionLast="47" xr6:coauthVersionMax="47" xr10:uidLastSave="{00000000-0000-0000-0000-000000000000}"/>
  <bookViews>
    <workbookView xWindow="-108" yWindow="-108" windowWidth="23256" windowHeight="13896" activeTab="2" xr2:uid="{EA185DFB-58E9-4961-BAED-5FCFBECC73F1}"/>
  </bookViews>
  <sheets>
    <sheet name="Rules" sheetId="1" r:id="rId1"/>
    <sheet name="Sheet2" sheetId="2" r:id="rId2"/>
    <sheet name="Matches" sheetId="3" r:id="rId3"/>
    <sheet name="Round1" sheetId="4" r:id="rId4"/>
  </sheets>
  <functionGroups builtInGroupCount="19"/>
  <definedNames>
    <definedName name="_xlnm._FilterDatabase" localSheetId="1" hidden="1">Sheet2!$N$2:$N$98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2" l="1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C28" i="2"/>
  <c r="E28" i="2"/>
  <c r="C41" i="2"/>
  <c r="E41" i="2"/>
  <c r="C51" i="2"/>
  <c r="E51" i="2"/>
  <c r="C47" i="2"/>
  <c r="E47" i="2"/>
  <c r="C48" i="2"/>
  <c r="E48" i="2"/>
  <c r="C8" i="2"/>
  <c r="E8" i="2"/>
  <c r="C21" i="2"/>
  <c r="E21" i="2"/>
  <c r="C23" i="2"/>
  <c r="E23" i="2"/>
  <c r="C18" i="2"/>
  <c r="E18" i="2"/>
  <c r="C19" i="2"/>
  <c r="E19" i="2"/>
  <c r="C32" i="2"/>
  <c r="E32" i="2"/>
  <c r="C13" i="2"/>
  <c r="E13" i="2"/>
  <c r="C37" i="2"/>
  <c r="E37" i="2"/>
  <c r="C35" i="2"/>
  <c r="E35" i="2"/>
  <c r="C24" i="2"/>
  <c r="E24" i="2"/>
  <c r="C43" i="2"/>
  <c r="E43" i="2"/>
  <c r="C53" i="2"/>
  <c r="E53" i="2"/>
  <c r="C25" i="2"/>
  <c r="E25" i="2"/>
  <c r="C45" i="2"/>
  <c r="E45" i="2"/>
  <c r="C30" i="2"/>
  <c r="E30" i="2"/>
  <c r="C33" i="2"/>
  <c r="E33" i="2"/>
  <c r="C38" i="2"/>
  <c r="E38" i="2"/>
  <c r="C27" i="2"/>
  <c r="E27" i="2"/>
  <c r="C52" i="2"/>
  <c r="E52" i="2"/>
  <c r="C49" i="2"/>
  <c r="E49" i="2"/>
  <c r="C16" i="2"/>
  <c r="E16" i="2"/>
  <c r="C6" i="2"/>
  <c r="E6" i="2"/>
  <c r="C36" i="2"/>
  <c r="E36" i="2"/>
  <c r="C42" i="2"/>
  <c r="E42" i="2"/>
  <c r="C31" i="2"/>
  <c r="E31" i="2"/>
  <c r="C39" i="2"/>
  <c r="E39" i="2"/>
  <c r="C20" i="2"/>
  <c r="E20" i="2"/>
  <c r="C4" i="2"/>
  <c r="E4" i="2"/>
  <c r="C11" i="2"/>
  <c r="E11" i="2"/>
  <c r="C29" i="2"/>
  <c r="E29" i="2"/>
  <c r="C40" i="2"/>
  <c r="E40" i="2"/>
  <c r="C26" i="2"/>
  <c r="E26" i="2"/>
  <c r="C17" i="2"/>
  <c r="E17" i="2"/>
  <c r="C46" i="2"/>
  <c r="E46" i="2"/>
  <c r="C7" i="2"/>
  <c r="E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A65" i="3"/>
  <c r="B65" i="3"/>
  <c r="E65" i="3" s="1"/>
  <c r="C65" i="3"/>
  <c r="F65" i="3" s="1"/>
  <c r="A66" i="3"/>
  <c r="B66" i="3"/>
  <c r="E66" i="3" s="1"/>
  <c r="C66" i="3"/>
  <c r="F66" i="3" s="1"/>
  <c r="A67" i="3"/>
  <c r="B67" i="3"/>
  <c r="E67" i="3" s="1"/>
  <c r="C67" i="3"/>
  <c r="F67" i="3" s="1"/>
  <c r="A68" i="3"/>
  <c r="B68" i="3"/>
  <c r="E68" i="3" s="1"/>
  <c r="C68" i="3"/>
  <c r="F68" i="3" s="1"/>
  <c r="A69" i="3"/>
  <c r="B69" i="3"/>
  <c r="E69" i="3" s="1"/>
  <c r="C69" i="3"/>
  <c r="F69" i="3" s="1"/>
  <c r="A70" i="3"/>
  <c r="B70" i="3"/>
  <c r="E70" i="3" s="1"/>
  <c r="C70" i="3"/>
  <c r="F70" i="3" s="1"/>
  <c r="A71" i="3"/>
  <c r="B71" i="3"/>
  <c r="E71" i="3" s="1"/>
  <c r="C71" i="3"/>
  <c r="F71" i="3" s="1"/>
  <c r="A72" i="3"/>
  <c r="B72" i="3"/>
  <c r="E72" i="3" s="1"/>
  <c r="C72" i="3"/>
  <c r="F72" i="3" s="1"/>
  <c r="A73" i="3"/>
  <c r="B73" i="3"/>
  <c r="E73" i="3" s="1"/>
  <c r="C73" i="3"/>
  <c r="F73" i="3" s="1"/>
  <c r="A74" i="3"/>
  <c r="B74" i="3"/>
  <c r="E74" i="3" s="1"/>
  <c r="C74" i="3"/>
  <c r="F74" i="3" s="1"/>
  <c r="A75" i="3"/>
  <c r="B75" i="3"/>
  <c r="E75" i="3" s="1"/>
  <c r="C75" i="3"/>
  <c r="F75" i="3"/>
  <c r="A76" i="3"/>
  <c r="B76" i="3"/>
  <c r="E76" i="3" s="1"/>
  <c r="C76" i="3"/>
  <c r="F76" i="3" s="1"/>
  <c r="A77" i="3"/>
  <c r="B77" i="3"/>
  <c r="E77" i="3" s="1"/>
  <c r="C77" i="3"/>
  <c r="F77" i="3" s="1"/>
  <c r="A78" i="3"/>
  <c r="B78" i="3"/>
  <c r="E78" i="3" s="1"/>
  <c r="C78" i="3"/>
  <c r="F78" i="3"/>
  <c r="A79" i="3"/>
  <c r="B79" i="3"/>
  <c r="E79" i="3" s="1"/>
  <c r="C79" i="3"/>
  <c r="F79" i="3"/>
  <c r="A80" i="3"/>
  <c r="B80" i="3"/>
  <c r="E80" i="3" s="1"/>
  <c r="C80" i="3"/>
  <c r="F80" i="3" s="1"/>
  <c r="A81" i="3"/>
  <c r="B81" i="3"/>
  <c r="C81" i="3"/>
  <c r="F81" i="3" s="1"/>
  <c r="E81" i="3"/>
  <c r="A82" i="3"/>
  <c r="B82" i="3"/>
  <c r="E82" i="3" s="1"/>
  <c r="C82" i="3"/>
  <c r="F82" i="3"/>
  <c r="A83" i="3"/>
  <c r="B83" i="3"/>
  <c r="E83" i="3" s="1"/>
  <c r="C83" i="3"/>
  <c r="F83" i="3" s="1"/>
  <c r="A84" i="3"/>
  <c r="B84" i="3"/>
  <c r="C84" i="3"/>
  <c r="F84" i="3" s="1"/>
  <c r="E84" i="3"/>
  <c r="A85" i="3"/>
  <c r="B85" i="3"/>
  <c r="C85" i="3"/>
  <c r="E85" i="3"/>
  <c r="F85" i="3"/>
  <c r="A86" i="3"/>
  <c r="B86" i="3"/>
  <c r="E86" i="3" s="1"/>
  <c r="C86" i="3"/>
  <c r="F86" i="3" s="1"/>
  <c r="A87" i="3"/>
  <c r="B87" i="3"/>
  <c r="C87" i="3"/>
  <c r="F87" i="3" s="1"/>
  <c r="E87" i="3"/>
  <c r="A88" i="3"/>
  <c r="B88" i="3"/>
  <c r="C88" i="3"/>
  <c r="E88" i="3"/>
  <c r="F88" i="3"/>
  <c r="A89" i="3"/>
  <c r="B89" i="3"/>
  <c r="E89" i="3" s="1"/>
  <c r="C89" i="3"/>
  <c r="F89" i="3" s="1"/>
  <c r="A90" i="3"/>
  <c r="B90" i="3"/>
  <c r="E90" i="3" s="1"/>
  <c r="C90" i="3"/>
  <c r="F90" i="3" s="1"/>
  <c r="A91" i="3"/>
  <c r="B91" i="3"/>
  <c r="E91" i="3" s="1"/>
  <c r="C91" i="3"/>
  <c r="F91" i="3" s="1"/>
  <c r="A92" i="3"/>
  <c r="B92" i="3"/>
  <c r="E92" i="3" s="1"/>
  <c r="C92" i="3"/>
  <c r="F92" i="3"/>
  <c r="A93" i="3"/>
  <c r="B93" i="3"/>
  <c r="E93" i="3" s="1"/>
  <c r="C93" i="3"/>
  <c r="F93" i="3" s="1"/>
  <c r="A94" i="3"/>
  <c r="B94" i="3"/>
  <c r="E94" i="3" s="1"/>
  <c r="C94" i="3"/>
  <c r="F94" i="3"/>
  <c r="A95" i="3"/>
  <c r="B95" i="3"/>
  <c r="E95" i="3" s="1"/>
  <c r="C95" i="3"/>
  <c r="F95" i="3" s="1"/>
  <c r="A96" i="3"/>
  <c r="B96" i="3"/>
  <c r="E96" i="3" s="1"/>
  <c r="C96" i="3"/>
  <c r="F96" i="3" s="1"/>
  <c r="A97" i="3"/>
  <c r="B97" i="3"/>
  <c r="E97" i="3" s="1"/>
  <c r="C97" i="3"/>
  <c r="F97" i="3" s="1"/>
  <c r="A98" i="3"/>
  <c r="B98" i="3"/>
  <c r="E98" i="3" s="1"/>
  <c r="C98" i="3"/>
  <c r="F98" i="3" s="1"/>
  <c r="A99" i="3"/>
  <c r="B99" i="3"/>
  <c r="C99" i="3"/>
  <c r="F99" i="3" s="1"/>
  <c r="E99" i="3"/>
  <c r="A100" i="3"/>
  <c r="B100" i="3"/>
  <c r="E100" i="3" s="1"/>
  <c r="C100" i="3"/>
  <c r="F100" i="3" s="1"/>
  <c r="A101" i="3"/>
  <c r="B101" i="3"/>
  <c r="C101" i="3"/>
  <c r="E101" i="3"/>
  <c r="F101" i="3"/>
  <c r="A102" i="3"/>
  <c r="B102" i="3"/>
  <c r="C102" i="3"/>
  <c r="F102" i="3" s="1"/>
  <c r="E102" i="3"/>
  <c r="A103" i="3"/>
  <c r="B103" i="3"/>
  <c r="E103" i="3" s="1"/>
  <c r="C103" i="3"/>
  <c r="F103" i="3"/>
  <c r="A104" i="3"/>
  <c r="B104" i="3"/>
  <c r="C104" i="3"/>
  <c r="E104" i="3"/>
  <c r="F104" i="3"/>
  <c r="A105" i="3"/>
  <c r="B105" i="3"/>
  <c r="C105" i="3"/>
  <c r="F105" i="3" s="1"/>
  <c r="E105" i="3"/>
  <c r="A106" i="3"/>
  <c r="B106" i="3"/>
  <c r="C106" i="3"/>
  <c r="E106" i="3"/>
  <c r="F106" i="3"/>
  <c r="A107" i="3"/>
  <c r="B107" i="3"/>
  <c r="C107" i="3"/>
  <c r="E107" i="3"/>
  <c r="F107" i="3"/>
  <c r="A39" i="3"/>
  <c r="B39" i="3"/>
  <c r="E39" i="3" s="1"/>
  <c r="C39" i="3"/>
  <c r="F39" i="3" s="1"/>
  <c r="A40" i="3"/>
  <c r="B40" i="3"/>
  <c r="C40" i="3"/>
  <c r="F40" i="3" s="1"/>
  <c r="E40" i="3"/>
  <c r="A41" i="3"/>
  <c r="B41" i="3"/>
  <c r="E41" i="3" s="1"/>
  <c r="C41" i="3"/>
  <c r="F41" i="3" s="1"/>
  <c r="A42" i="3"/>
  <c r="B42" i="3"/>
  <c r="E42" i="3" s="1"/>
  <c r="C42" i="3"/>
  <c r="F42" i="3" s="1"/>
  <c r="A43" i="3"/>
  <c r="B43" i="3"/>
  <c r="E43" i="3" s="1"/>
  <c r="C43" i="3"/>
  <c r="F43" i="3" s="1"/>
  <c r="A44" i="3"/>
  <c r="B44" i="3"/>
  <c r="E44" i="3" s="1"/>
  <c r="C44" i="3"/>
  <c r="F44" i="3"/>
  <c r="A45" i="3"/>
  <c r="B45" i="3"/>
  <c r="C45" i="3"/>
  <c r="F45" i="3" s="1"/>
  <c r="E45" i="3"/>
  <c r="A46" i="3"/>
  <c r="B46" i="3"/>
  <c r="E46" i="3" s="1"/>
  <c r="C46" i="3"/>
  <c r="F46" i="3" s="1"/>
  <c r="A47" i="3"/>
  <c r="B47" i="3"/>
  <c r="E47" i="3" s="1"/>
  <c r="C47" i="3"/>
  <c r="F47" i="3"/>
  <c r="A48" i="3"/>
  <c r="B48" i="3"/>
  <c r="E48" i="3" s="1"/>
  <c r="C48" i="3"/>
  <c r="F48" i="3" s="1"/>
  <c r="A49" i="3"/>
  <c r="B49" i="3"/>
  <c r="E49" i="3" s="1"/>
  <c r="C49" i="3"/>
  <c r="F49" i="3" s="1"/>
  <c r="A50" i="3"/>
  <c r="B50" i="3"/>
  <c r="E50" i="3" s="1"/>
  <c r="C50" i="3"/>
  <c r="F50" i="3" s="1"/>
  <c r="A51" i="3"/>
  <c r="B51" i="3"/>
  <c r="E51" i="3" s="1"/>
  <c r="C51" i="3"/>
  <c r="F51" i="3"/>
  <c r="A52" i="3"/>
  <c r="B52" i="3"/>
  <c r="E52" i="3" s="1"/>
  <c r="C52" i="3"/>
  <c r="F52" i="3" s="1"/>
  <c r="A53" i="3"/>
  <c r="B53" i="3"/>
  <c r="E53" i="3" s="1"/>
  <c r="C53" i="3"/>
  <c r="F53" i="3" s="1"/>
  <c r="A54" i="3"/>
  <c r="B54" i="3"/>
  <c r="C54" i="3"/>
  <c r="F54" i="3" s="1"/>
  <c r="E54" i="3"/>
  <c r="A55" i="3"/>
  <c r="B55" i="3"/>
  <c r="E55" i="3" s="1"/>
  <c r="C55" i="3"/>
  <c r="F55" i="3" s="1"/>
  <c r="A56" i="3"/>
  <c r="B56" i="3"/>
  <c r="E56" i="3" s="1"/>
  <c r="C56" i="3"/>
  <c r="F56" i="3" s="1"/>
  <c r="A57" i="3"/>
  <c r="B57" i="3"/>
  <c r="C57" i="3"/>
  <c r="F57" i="3" s="1"/>
  <c r="E57" i="3"/>
  <c r="A58" i="3"/>
  <c r="B58" i="3"/>
  <c r="C58" i="3"/>
  <c r="E58" i="3"/>
  <c r="F58" i="3"/>
  <c r="A59" i="3"/>
  <c r="B59" i="3"/>
  <c r="E59" i="3" s="1"/>
  <c r="C59" i="3"/>
  <c r="F59" i="3" s="1"/>
  <c r="A60" i="3"/>
  <c r="B60" i="3"/>
  <c r="E60" i="3" s="1"/>
  <c r="C60" i="3"/>
  <c r="F60" i="3" s="1"/>
  <c r="A61" i="3"/>
  <c r="B61" i="3"/>
  <c r="E61" i="3" s="1"/>
  <c r="C61" i="3"/>
  <c r="F61" i="3"/>
  <c r="A62" i="3"/>
  <c r="B62" i="3"/>
  <c r="E62" i="3" s="1"/>
  <c r="C62" i="3"/>
  <c r="F62" i="3" s="1"/>
  <c r="A63" i="3"/>
  <c r="B63" i="3"/>
  <c r="E63" i="3" s="1"/>
  <c r="C63" i="3"/>
  <c r="F63" i="3" s="1"/>
  <c r="A64" i="3"/>
  <c r="B64" i="3"/>
  <c r="C64" i="3"/>
  <c r="E64" i="3"/>
  <c r="F64" i="3"/>
  <c r="M3" i="2"/>
  <c r="N19" i="2"/>
  <c r="N20" i="2"/>
  <c r="N21" i="2"/>
  <c r="N22" i="2"/>
  <c r="N23" i="2"/>
  <c r="N24" i="2"/>
  <c r="N25" i="2"/>
  <c r="N26" i="2"/>
  <c r="N27" i="2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B24" i="3" l="1"/>
  <c r="E24" i="3" s="1"/>
  <c r="C24" i="3"/>
  <c r="F24" i="3" s="1"/>
  <c r="B25" i="3"/>
  <c r="E25" i="3" s="1"/>
  <c r="C25" i="3"/>
  <c r="F25" i="3" s="1"/>
  <c r="B26" i="3"/>
  <c r="E26" i="3" s="1"/>
  <c r="C26" i="3"/>
  <c r="F26" i="3" s="1"/>
  <c r="B27" i="3"/>
  <c r="E27" i="3" s="1"/>
  <c r="C27" i="3"/>
  <c r="F27" i="3" s="1"/>
  <c r="B28" i="3"/>
  <c r="E28" i="3" s="1"/>
  <c r="C28" i="3"/>
  <c r="F28" i="3" s="1"/>
  <c r="B29" i="3"/>
  <c r="E29" i="3" s="1"/>
  <c r="C29" i="3"/>
  <c r="F29" i="3" s="1"/>
  <c r="B30" i="3"/>
  <c r="E30" i="3" s="1"/>
  <c r="C30" i="3"/>
  <c r="F30" i="3" s="1"/>
  <c r="B31" i="3"/>
  <c r="E31" i="3" s="1"/>
  <c r="C31" i="3"/>
  <c r="F31" i="3" s="1"/>
  <c r="B32" i="3"/>
  <c r="E32" i="3" s="1"/>
  <c r="C32" i="3"/>
  <c r="F32" i="3" s="1"/>
  <c r="B33" i="3"/>
  <c r="E33" i="3" s="1"/>
  <c r="C33" i="3"/>
  <c r="F33" i="3" s="1"/>
  <c r="B34" i="3"/>
  <c r="E34" i="3" s="1"/>
  <c r="C34" i="3"/>
  <c r="F34" i="3" s="1"/>
  <c r="B35" i="3"/>
  <c r="E35" i="3" s="1"/>
  <c r="C35" i="3"/>
  <c r="F35" i="3" s="1"/>
  <c r="B36" i="3"/>
  <c r="E36" i="3" s="1"/>
  <c r="C36" i="3"/>
  <c r="F36" i="3" s="1"/>
  <c r="B37" i="3"/>
  <c r="E37" i="3" s="1"/>
  <c r="C37" i="3"/>
  <c r="F37" i="3" s="1"/>
  <c r="B38" i="3"/>
  <c r="E38" i="3" s="1"/>
  <c r="C38" i="3"/>
  <c r="F38" i="3" s="1"/>
  <c r="B4" i="3"/>
  <c r="E4" i="3" s="1"/>
  <c r="C4" i="3"/>
  <c r="F4" i="3" s="1"/>
  <c r="B5" i="3"/>
  <c r="E5" i="3" s="1"/>
  <c r="C5" i="3"/>
  <c r="F5" i="3" s="1"/>
  <c r="B6" i="3"/>
  <c r="E6" i="3" s="1"/>
  <c r="C6" i="3"/>
  <c r="F6" i="3" s="1"/>
  <c r="B7" i="3"/>
  <c r="E7" i="3" s="1"/>
  <c r="C7" i="3"/>
  <c r="F7" i="3" s="1"/>
  <c r="B8" i="3"/>
  <c r="E8" i="3" s="1"/>
  <c r="C8" i="3"/>
  <c r="F8" i="3" s="1"/>
  <c r="B9" i="3"/>
  <c r="E9" i="3" s="1"/>
  <c r="C9" i="3"/>
  <c r="F9" i="3" s="1"/>
  <c r="B10" i="3"/>
  <c r="E10" i="3" s="1"/>
  <c r="C10" i="3"/>
  <c r="F10" i="3" s="1"/>
  <c r="B11" i="3"/>
  <c r="E11" i="3" s="1"/>
  <c r="C11" i="3"/>
  <c r="F11" i="3" s="1"/>
  <c r="B12" i="3"/>
  <c r="E12" i="3" s="1"/>
  <c r="C12" i="3"/>
  <c r="F12" i="3" s="1"/>
  <c r="B13" i="3"/>
  <c r="E13" i="3" s="1"/>
  <c r="C13" i="3"/>
  <c r="F13" i="3" s="1"/>
  <c r="B14" i="3"/>
  <c r="E14" i="3" s="1"/>
  <c r="C14" i="3"/>
  <c r="F14" i="3" s="1"/>
  <c r="B15" i="3"/>
  <c r="E15" i="3" s="1"/>
  <c r="C15" i="3"/>
  <c r="F15" i="3" s="1"/>
  <c r="B16" i="3"/>
  <c r="E16" i="3" s="1"/>
  <c r="C16" i="3"/>
  <c r="F16" i="3" s="1"/>
  <c r="B17" i="3"/>
  <c r="E17" i="3" s="1"/>
  <c r="C17" i="3"/>
  <c r="F17" i="3" s="1"/>
  <c r="B18" i="3"/>
  <c r="E18" i="3" s="1"/>
  <c r="C18" i="3"/>
  <c r="F18" i="3" s="1"/>
  <c r="B19" i="3"/>
  <c r="E19" i="3" s="1"/>
  <c r="C19" i="3"/>
  <c r="F19" i="3" s="1"/>
  <c r="B20" i="3"/>
  <c r="E20" i="3" s="1"/>
  <c r="C20" i="3"/>
  <c r="F20" i="3" s="1"/>
  <c r="B21" i="3"/>
  <c r="E21" i="3" s="1"/>
  <c r="C21" i="3"/>
  <c r="F21" i="3" s="1"/>
  <c r="B22" i="3"/>
  <c r="E22" i="3" s="1"/>
  <c r="C22" i="3"/>
  <c r="F22" i="3" s="1"/>
  <c r="B23" i="3"/>
  <c r="E23" i="3" s="1"/>
  <c r="C23" i="3"/>
  <c r="F23" i="3" s="1"/>
  <c r="B3" i="3"/>
  <c r="E3" i="3" s="1"/>
  <c r="C3" i="3"/>
  <c r="F3" i="3" s="1"/>
  <c r="A3" i="3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3" i="2"/>
  <c r="C50" i="2"/>
  <c r="C5" i="2"/>
  <c r="C15" i="2"/>
  <c r="C22" i="2"/>
  <c r="C10" i="2"/>
  <c r="C44" i="2"/>
  <c r="E50" i="2"/>
  <c r="C34" i="2"/>
  <c r="C14" i="2"/>
  <c r="C12" i="2"/>
  <c r="C9" i="2"/>
  <c r="E14" i="2"/>
  <c r="E5" i="2"/>
  <c r="E22" i="2"/>
  <c r="E9" i="2"/>
  <c r="E15" i="2"/>
  <c r="E12" i="2"/>
  <c r="E44" i="2"/>
  <c r="E10" i="2"/>
  <c r="E34" i="2"/>
</calcChain>
</file>

<file path=xl/sharedStrings.xml><?xml version="1.0" encoding="utf-8"?>
<sst xmlns="http://schemas.openxmlformats.org/spreadsheetml/2006/main" count="239" uniqueCount="146">
  <si>
    <t>What is a Swiss-style Tournament?</t>
  </si>
  <si>
    <r>
      <t>Right, so what are we trying to do anyway? We’re trying to code a Tournament Manager, which is useful for things like e-sports, trading card games, and anything else that’s vaguely competitive. In general, tournaments aim to determine the best player/team (I’ll just use player from now on) in a competition; obviously, the best way to go about this is to make each participant play each other, and the player with the highest score at the end of it all wins — this is known as a “</t>
    </r>
    <r>
      <rPr>
        <b/>
        <sz val="12"/>
        <color rgb="FF242424"/>
        <rFont val="Georgia"/>
        <family val="1"/>
      </rPr>
      <t>Round-Robin</t>
    </r>
    <r>
      <rPr>
        <sz val="12"/>
        <color rgb="FF242424"/>
        <rFont val="Georgia"/>
        <family val="1"/>
      </rPr>
      <t>” style tournament.</t>
    </r>
  </si>
  <si>
    <t>The problem with a Round-Robin tournament is that it doesn’t scale very well to large numbers of participants. For example, 4-player round-robin tournament requires 3 rounds to be played. But the same tournament style for 32 players would require 31 rounds — a logistical nightmare at beast.</t>
  </si>
  <si>
    <t>Swiss-style tournaments were developed to counteract this problem. Swiss-style tournaments generally have two rules:</t>
  </si>
  <si>
    <t>Participants are paired with opponents who have similar scores.</t>
  </si>
  <si>
    <t>Participants cannot play the same opponent twice.</t>
  </si>
  <si>
    <t>In this way, the tournament aims to pair similarly ranked players until a winner is determined, and this process generally takes much fewer rounds than a round-robin tournament to resolve. For example, a 32-player Swiss tournament would only need 5 rounds to conclude rather than a 31-Round-Robin tournament — much better!</t>
  </si>
  <si>
    <t>Thus, to create our Tournament Manager app, we’re first going to need to come with an algorithm that does the above.</t>
  </si>
  <si>
    <t>Score</t>
  </si>
  <si>
    <t>Player</t>
  </si>
  <si>
    <t>AddScore</t>
  </si>
  <si>
    <t>No of Players</t>
  </si>
  <si>
    <t>Results</t>
  </si>
  <si>
    <t>Round</t>
  </si>
  <si>
    <t>Player1</t>
  </si>
  <si>
    <t>Player2</t>
  </si>
  <si>
    <t>Result</t>
  </si>
  <si>
    <t xml:space="preserve">No of Round </t>
  </si>
  <si>
    <t>Win Percent</t>
  </si>
  <si>
    <t>Write</t>
  </si>
  <si>
    <t>Read</t>
  </si>
  <si>
    <t>Randomise</t>
  </si>
  <si>
    <t>Alloted</t>
  </si>
  <si>
    <t>P1Name</t>
  </si>
  <si>
    <t>P2Name</t>
  </si>
  <si>
    <t>Master List</t>
  </si>
  <si>
    <t>Name</t>
  </si>
  <si>
    <t xml:space="preserve">Contact number </t>
  </si>
  <si>
    <t xml:space="preserve">Department </t>
  </si>
  <si>
    <t>Register No.</t>
  </si>
  <si>
    <t>Alen Join Shibu</t>
  </si>
  <si>
    <t>5BSc.DS</t>
  </si>
  <si>
    <t>Ananth Krishna NB</t>
  </si>
  <si>
    <t>1 BBA LLB</t>
  </si>
  <si>
    <t>Jai Sinnh Bhargava</t>
  </si>
  <si>
    <t>1 Bcom A</t>
  </si>
  <si>
    <t xml:space="preserve">saurya thakkar </t>
  </si>
  <si>
    <t>1 BscCSDS PLC</t>
  </si>
  <si>
    <t xml:space="preserve">Harshvardhan Singh Rathore </t>
  </si>
  <si>
    <t>MBA</t>
  </si>
  <si>
    <t>Sahil kadu</t>
  </si>
  <si>
    <t>3BCA</t>
  </si>
  <si>
    <t xml:space="preserve">prince </t>
  </si>
  <si>
    <t>3Ballb</t>
  </si>
  <si>
    <t>Kunal</t>
  </si>
  <si>
    <t>5 BBA D</t>
  </si>
  <si>
    <t>Vishal Yadav</t>
  </si>
  <si>
    <t>1BCA</t>
  </si>
  <si>
    <t>Anjali Shitole</t>
  </si>
  <si>
    <t>1st year BCA</t>
  </si>
  <si>
    <t>kaif khan</t>
  </si>
  <si>
    <t xml:space="preserve">1BBA BA </t>
  </si>
  <si>
    <t>Dhepeshnarayana.s</t>
  </si>
  <si>
    <t>1ba llb</t>
  </si>
  <si>
    <t>Lingeswer.S</t>
  </si>
  <si>
    <t xml:space="preserve">1Bba Llb </t>
  </si>
  <si>
    <t>Devagya Singla</t>
  </si>
  <si>
    <t>1 BBA BA</t>
  </si>
  <si>
    <t xml:space="preserve">Sherick Matthew </t>
  </si>
  <si>
    <t>9BBAllb</t>
  </si>
  <si>
    <t xml:space="preserve">Hans M Abraham </t>
  </si>
  <si>
    <t>1MBA</t>
  </si>
  <si>
    <t>Devkrishna</t>
  </si>
  <si>
    <t>5BSCDS</t>
  </si>
  <si>
    <t>Tuba Ahmed</t>
  </si>
  <si>
    <t>1bse es</t>
  </si>
  <si>
    <t>akshay K S</t>
  </si>
  <si>
    <t xml:space="preserve">3ba llb </t>
  </si>
  <si>
    <t>Rishit Mishra</t>
  </si>
  <si>
    <t>1BBA BA C</t>
  </si>
  <si>
    <t>Rushiraj Patel</t>
  </si>
  <si>
    <t>1BBA HONS</t>
  </si>
  <si>
    <t>Aviroop Sinha</t>
  </si>
  <si>
    <t>3BCom Fa</t>
  </si>
  <si>
    <t>Arunabha Dey</t>
  </si>
  <si>
    <t>Abhinay Sahu</t>
  </si>
  <si>
    <t>Divyansh</t>
  </si>
  <si>
    <t>1 BSC ES</t>
  </si>
  <si>
    <t>Swastik Pandey</t>
  </si>
  <si>
    <t>Anwesh Chatterjee</t>
  </si>
  <si>
    <t>3BBA A</t>
  </si>
  <si>
    <t>Utsav Sahare</t>
  </si>
  <si>
    <t>BBA BA</t>
  </si>
  <si>
    <t>Thakkar harmik</t>
  </si>
  <si>
    <t>1MSCDS</t>
  </si>
  <si>
    <t>Adrika gosh</t>
  </si>
  <si>
    <t>Yogyata Singh</t>
  </si>
  <si>
    <t>1BSCCSDS</t>
  </si>
  <si>
    <t>Aditi Sai</t>
  </si>
  <si>
    <t>Bcom</t>
  </si>
  <si>
    <t>Jovian Anderson Chyne</t>
  </si>
  <si>
    <t>BSC. ES</t>
  </si>
  <si>
    <t>Akshat chauhan</t>
  </si>
  <si>
    <t>1 BA LLB PLC</t>
  </si>
  <si>
    <t>aditya dhyani</t>
  </si>
  <si>
    <t>bcs csds</t>
  </si>
  <si>
    <t>sparsh ahuja</t>
  </si>
  <si>
    <t xml:space="preserve">9 Ba Llb </t>
  </si>
  <si>
    <t>Ansh Kalra</t>
  </si>
  <si>
    <t>3 BBA BA A</t>
  </si>
  <si>
    <t>Aryan Mhaskar</t>
  </si>
  <si>
    <t>7BALLB</t>
  </si>
  <si>
    <t>Vashitav Bali</t>
  </si>
  <si>
    <t>1bcom</t>
  </si>
  <si>
    <t xml:space="preserve">Siddharth </t>
  </si>
  <si>
    <t>9BBALLB</t>
  </si>
  <si>
    <t>Santhoshkrishna GM</t>
  </si>
  <si>
    <t>5BBA.LLB</t>
  </si>
  <si>
    <t>arshad PR</t>
  </si>
  <si>
    <t>9BA LLB</t>
  </si>
  <si>
    <t>varghese anto</t>
  </si>
  <si>
    <t>9BBA LLB</t>
  </si>
  <si>
    <t xml:space="preserve">Karasala Abishai
</t>
  </si>
  <si>
    <t>5BBA C</t>
  </si>
  <si>
    <t xml:space="preserve">Buddha Hari Haran
</t>
  </si>
  <si>
    <t>5BBA B</t>
  </si>
  <si>
    <t xml:space="preserve">Devesh Tiwari </t>
  </si>
  <si>
    <t>5BBA</t>
  </si>
  <si>
    <t>HARSHITH SHRESTH</t>
  </si>
  <si>
    <t>HIMANSHU RAJ</t>
  </si>
  <si>
    <t>priyanshu mehra</t>
  </si>
  <si>
    <t>1 bba ba</t>
  </si>
  <si>
    <t>Jatin</t>
  </si>
  <si>
    <t>5Bba b</t>
  </si>
  <si>
    <t>Sno</t>
  </si>
  <si>
    <t>Aditya Dhyani</t>
  </si>
  <si>
    <t>Ananth Krishna Nb</t>
  </si>
  <si>
    <t xml:space="preserve">Saurya Thakkar </t>
  </si>
  <si>
    <t>Thakkar Harmik</t>
  </si>
  <si>
    <t>Santhoshkrishna Gm</t>
  </si>
  <si>
    <t>Kaif Khan</t>
  </si>
  <si>
    <t>Himanshu Raj</t>
  </si>
  <si>
    <t>Dhepeshnarayana.S</t>
  </si>
  <si>
    <t>Akshay K S</t>
  </si>
  <si>
    <t>Akshat Chauhan</t>
  </si>
  <si>
    <t>Varghese Anto</t>
  </si>
  <si>
    <t>Adrika Gosh</t>
  </si>
  <si>
    <t>Priyanshu Mehra</t>
  </si>
  <si>
    <t>Sparsh Ahuja</t>
  </si>
  <si>
    <t>Sahil Kadu</t>
  </si>
  <si>
    <t xml:space="preserve">Prince </t>
  </si>
  <si>
    <t>Arshad Pr</t>
  </si>
  <si>
    <t>Harshith Shresth</t>
  </si>
  <si>
    <t>Round 1</t>
  </si>
  <si>
    <t>Player 1</t>
  </si>
  <si>
    <t>Player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</si>
</sst>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42424"/>
      <name val="Arial"/>
      <family val="2"/>
    </font>
    <font>
      <sz val="12"/>
      <color rgb="FF242424"/>
      <name val="Georgia"/>
      <family val="1"/>
    </font>
    <font>
      <b/>
      <sz val="12"/>
      <color rgb="FF242424"/>
      <name val="Georgia"/>
      <family val="1"/>
    </font>
    <font>
      <sz val="10"/>
      <color rgb="FF0000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/>
  </cellStyleXfs>
  <cellXfs count="13">
    <xf numFmtId="0" fontId="0" fillId="0" borderId="0" xfId="0"/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0" fontId="0" fillId="2" borderId="0" xfId="0" applyFill="1" applyAlignment="1">
      <alignment horizontal="left" vertical="center" wrapText="1" indent="1"/>
    </xf>
    <xf numFmtId="0" fontId="1" fillId="0" borderId="0" xfId="0" applyFont="1"/>
    <xf numFmtId="0" fontId="6" fillId="0" borderId="0" xfId="1" applyFont="1"/>
    <xf numFmtId="0" fontId="6" fillId="0" borderId="0" xfId="1" applyFont="1" applyAlignment="1">
      <alignment horizontal="center"/>
    </xf>
    <xf numFmtId="0" fontId="7" fillId="0" borderId="0" xfId="1" applyFont="1"/>
    <xf numFmtId="0" fontId="7" fillId="0" borderId="0" xfId="1" applyFont="1" applyAlignment="1">
      <alignment horizontal="center"/>
    </xf>
    <xf numFmtId="0" fontId="7" fillId="0" borderId="0" xfId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Normal 2" xfId="1" xr:uid="{EE7AD1A1-1DBD-4B35-863B-F608F3C679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250346</xdr:colOff>
      <xdr:row>3</xdr:row>
      <xdr:rowOff>68582</xdr:rowOff>
    </xdr:from>
    <xdr:to>
      <xdr:col>8</xdr:col>
      <xdr:colOff>99659</xdr:colOff>
      <xdr:row>5</xdr:row>
      <xdr:rowOff>175261</xdr:rowOff>
    </xdr:to>
    <xdr:sp macro="[0]!LoadScor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6FF0090-C5D1-D067-BCC5-14724AE05765}"/>
            </a:ext>
          </a:extLst>
        </xdr:cNvPr>
        <xdr:cNvSpPr/>
      </xdr:nvSpPr>
      <xdr:spPr>
        <a:xfrm>
          <a:off x="4103155" y="607975"/>
          <a:ext cx="1065088" cy="466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Load</a:t>
          </a:r>
        </a:p>
      </xdr:txBody>
    </xdr:sp>
    <xdr:clientData/>
  </xdr:twoCellAnchor>
  <xdr:twoCellAnchor>
    <xdr:from>
      <xdr:col>6</xdr:col>
      <xdr:colOff>217042</xdr:colOff>
      <xdr:row>11</xdr:row>
      <xdr:rowOff>80053</xdr:rowOff>
    </xdr:from>
    <xdr:to>
      <xdr:col>8</xdr:col>
      <xdr:colOff>81595</xdr:colOff>
      <xdr:row>13</xdr:row>
      <xdr:rowOff>118153</xdr:rowOff>
    </xdr:to>
    <xdr:sp macro="[0]!LoadResul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1C8DAAA-3E73-418D-E41F-D52083E0E42F}"/>
            </a:ext>
          </a:extLst>
        </xdr:cNvPr>
        <xdr:cNvSpPr/>
      </xdr:nvSpPr>
      <xdr:spPr>
        <a:xfrm>
          <a:off x="4069851" y="2057828"/>
          <a:ext cx="1080328" cy="39769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Update Score</a:t>
          </a:r>
        </a:p>
      </xdr:txBody>
    </xdr:sp>
    <xdr:clientData/>
  </xdr:twoCellAnchor>
  <xdr:twoCellAnchor>
    <xdr:from>
      <xdr:col>6</xdr:col>
      <xdr:colOff>216100</xdr:colOff>
      <xdr:row>20</xdr:row>
      <xdr:rowOff>59077</xdr:rowOff>
    </xdr:from>
    <xdr:to>
      <xdr:col>8</xdr:col>
      <xdr:colOff>73033</xdr:colOff>
      <xdr:row>23</xdr:row>
      <xdr:rowOff>158138</xdr:rowOff>
    </xdr:to>
    <xdr:sp macro="[0]!GenRoun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AAAD63-8E20-7401-FC55-FE633649F2CF}"/>
            </a:ext>
          </a:extLst>
        </xdr:cNvPr>
        <xdr:cNvSpPr/>
      </xdr:nvSpPr>
      <xdr:spPr>
        <a:xfrm>
          <a:off x="4068909" y="3655032"/>
          <a:ext cx="1072708" cy="63845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Generate</a:t>
          </a:r>
          <a:r>
            <a:rPr lang="en-IN" sz="1100" baseline="0"/>
            <a:t> Round</a:t>
          </a:r>
          <a:endParaRPr lang="en-IN" sz="1100"/>
        </a:p>
      </xdr:txBody>
    </xdr:sp>
    <xdr:clientData/>
  </xdr:twoCellAnchor>
  <xdr:twoCellAnchor>
    <xdr:from>
      <xdr:col>6</xdr:col>
      <xdr:colOff>217214</xdr:colOff>
      <xdr:row>16</xdr:row>
      <xdr:rowOff>142812</xdr:rowOff>
    </xdr:from>
    <xdr:to>
      <xdr:col>8</xdr:col>
      <xdr:colOff>17124</xdr:colOff>
      <xdr:row>19</xdr:row>
      <xdr:rowOff>135192</xdr:rowOff>
    </xdr:to>
    <xdr:sp macro="[0]!SortArray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1C5ED0A-3076-39FB-F874-904875C25C0E}"/>
            </a:ext>
          </a:extLst>
        </xdr:cNvPr>
        <xdr:cNvSpPr/>
      </xdr:nvSpPr>
      <xdr:spPr>
        <a:xfrm>
          <a:off x="4070023" y="3019576"/>
          <a:ext cx="1015685" cy="53177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Sort</a:t>
          </a:r>
        </a:p>
      </xdr:txBody>
    </xdr:sp>
    <xdr:clientData/>
  </xdr:twoCellAnchor>
  <xdr:twoCellAnchor>
    <xdr:from>
      <xdr:col>6</xdr:col>
      <xdr:colOff>204113</xdr:colOff>
      <xdr:row>14</xdr:row>
      <xdr:rowOff>9589</xdr:rowOff>
    </xdr:from>
    <xdr:to>
      <xdr:col>8</xdr:col>
      <xdr:colOff>257453</xdr:colOff>
      <xdr:row>16</xdr:row>
      <xdr:rowOff>24830</xdr:rowOff>
    </xdr:to>
    <xdr:sp macro="[0]!calcAddScor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99EAB74-0F4D-5D49-DCD8-132071F904C1}"/>
            </a:ext>
          </a:extLst>
        </xdr:cNvPr>
        <xdr:cNvSpPr/>
      </xdr:nvSpPr>
      <xdr:spPr>
        <a:xfrm>
          <a:off x="4056922" y="2526758"/>
          <a:ext cx="1269115" cy="37483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Calc</a:t>
          </a:r>
          <a:r>
            <a:rPr lang="en-IN" sz="1100" baseline="0"/>
            <a:t> AddScore</a:t>
          </a:r>
          <a:endParaRPr lang="en-IN" sz="1100"/>
        </a:p>
      </xdr:txBody>
    </xdr:sp>
    <xdr:clientData/>
  </xdr:twoCellAnchor>
  <xdr:twoCellAnchor>
    <xdr:from>
      <xdr:col>6</xdr:col>
      <xdr:colOff>211650</xdr:colOff>
      <xdr:row>29</xdr:row>
      <xdr:rowOff>81080</xdr:rowOff>
    </xdr:from>
    <xdr:to>
      <xdr:col>7</xdr:col>
      <xdr:colOff>556518</xdr:colOff>
      <xdr:row>32</xdr:row>
      <xdr:rowOff>50600</xdr:rowOff>
    </xdr:to>
    <xdr:sp macro="[0]!ReverseSor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C2B91F4-C5C2-4AC4-328E-D205D64D2295}"/>
            </a:ext>
          </a:extLst>
        </xdr:cNvPr>
        <xdr:cNvSpPr/>
      </xdr:nvSpPr>
      <xdr:spPr>
        <a:xfrm>
          <a:off x="4064459" y="5295215"/>
          <a:ext cx="952756" cy="5089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l"/>
          <a:r>
            <a:rPr lang="en-IN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Reverse Sort</a:t>
          </a:r>
        </a:p>
      </xdr:txBody>
    </xdr:sp>
    <xdr:clientData/>
  </xdr:twoCellAnchor>
  <xdr:twoCellAnchor>
    <xdr:from>
      <xdr:col>6</xdr:col>
      <xdr:colOff>234422</xdr:colOff>
      <xdr:row>9</xdr:row>
      <xdr:rowOff>40925</xdr:rowOff>
    </xdr:from>
    <xdr:to>
      <xdr:col>7</xdr:col>
      <xdr:colOff>590763</xdr:colOff>
      <xdr:row>11</xdr:row>
      <xdr:rowOff>5908</xdr:rowOff>
    </xdr:to>
    <xdr:sp macro="[0]!playerSor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8767513-6607-01B9-4523-6CB04553ED83}"/>
            </a:ext>
          </a:extLst>
        </xdr:cNvPr>
        <xdr:cNvSpPr/>
      </xdr:nvSpPr>
      <xdr:spPr>
        <a:xfrm>
          <a:off x="4087231" y="1659105"/>
          <a:ext cx="964229" cy="32457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Player Sort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50E7E-6ABB-43F1-8C3E-10BD72FE002C}">
  <sheetPr codeName="Sheet1"/>
  <dimension ref="A1:A19"/>
  <sheetViews>
    <sheetView topLeftCell="A6" workbookViewId="0">
      <selection activeCell="A20" sqref="A20"/>
    </sheetView>
  </sheetViews>
  <sheetFormatPr defaultRowHeight="14.4" x14ac:dyDescent="0.3"/>
  <cols>
    <col min="1" max="1" width="102.21875" customWidth="1"/>
  </cols>
  <sheetData>
    <row r="1" spans="1:1" ht="17.399999999999999" x14ac:dyDescent="0.3">
      <c r="A1" s="1" t="s">
        <v>0</v>
      </c>
    </row>
    <row r="2" spans="1:1" ht="93.6" x14ac:dyDescent="0.3">
      <c r="A2" s="2" t="s">
        <v>1</v>
      </c>
    </row>
    <row r="5" spans="1:1" ht="46.8" x14ac:dyDescent="0.3">
      <c r="A5" s="2" t="s">
        <v>2</v>
      </c>
    </row>
    <row r="8" spans="1:1" ht="31.2" x14ac:dyDescent="0.3">
      <c r="A8" s="2" t="s">
        <v>3</v>
      </c>
    </row>
    <row r="9" spans="1:1" x14ac:dyDescent="0.3">
      <c r="A9" s="3"/>
    </row>
    <row r="10" spans="1:1" x14ac:dyDescent="0.3">
      <c r="A10" s="3"/>
    </row>
    <row r="11" spans="1:1" ht="15.6" x14ac:dyDescent="0.3">
      <c r="A11" s="4" t="s">
        <v>4</v>
      </c>
    </row>
    <row r="12" spans="1:1" x14ac:dyDescent="0.3">
      <c r="A12" s="5"/>
    </row>
    <row r="13" spans="1:1" ht="15.6" x14ac:dyDescent="0.3">
      <c r="A13" s="4" t="s">
        <v>5</v>
      </c>
    </row>
    <row r="16" spans="1:1" ht="62.4" x14ac:dyDescent="0.3">
      <c r="A16" s="2" t="s">
        <v>6</v>
      </c>
    </row>
    <row r="19" spans="1:1" ht="31.2" x14ac:dyDescent="0.3">
      <c r="A19" s="2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B48F1-9CEF-4B20-A52D-F56E320234D6}">
  <sheetPr codeName="Sheet2"/>
  <dimension ref="A1:T100"/>
  <sheetViews>
    <sheetView zoomScale="89" zoomScaleNormal="130" workbookViewId="0">
      <selection activeCell="K23" sqref="K23"/>
    </sheetView>
  </sheetViews>
  <sheetFormatPr defaultRowHeight="14.4" x14ac:dyDescent="0.3"/>
  <cols>
    <col min="5" max="5" width="11.88671875" bestFit="1" customWidth="1"/>
    <col min="9" max="9" width="9.88671875" customWidth="1"/>
  </cols>
  <sheetData>
    <row r="1" spans="1:20" x14ac:dyDescent="0.3">
      <c r="B1" s="6"/>
      <c r="E1" s="6" t="s">
        <v>11</v>
      </c>
      <c r="F1">
        <v>50</v>
      </c>
      <c r="H1" s="6" t="s">
        <v>20</v>
      </c>
      <c r="I1">
        <v>3</v>
      </c>
      <c r="K1" t="s">
        <v>12</v>
      </c>
      <c r="M1">
        <v>120</v>
      </c>
    </row>
    <row r="2" spans="1:20" x14ac:dyDescent="0.3">
      <c r="B2" s="6"/>
      <c r="E2" s="6" t="s">
        <v>17</v>
      </c>
      <c r="F2">
        <v>1</v>
      </c>
      <c r="H2" s="6" t="s">
        <v>19</v>
      </c>
      <c r="I2">
        <v>28</v>
      </c>
      <c r="J2" s="6" t="s">
        <v>13</v>
      </c>
      <c r="K2" s="6" t="s">
        <v>14</v>
      </c>
      <c r="L2" s="6" t="s">
        <v>15</v>
      </c>
      <c r="M2" s="6" t="s">
        <v>16</v>
      </c>
      <c r="N2" s="12">
        <v>21</v>
      </c>
    </row>
    <row r="3" spans="1:20" x14ac:dyDescent="0.3">
      <c r="A3" s="6" t="s">
        <v>9</v>
      </c>
      <c r="B3" s="6" t="s">
        <v>8</v>
      </c>
      <c r="C3" s="6" t="s">
        <v>18</v>
      </c>
      <c r="D3" s="6" t="s">
        <v>10</v>
      </c>
      <c r="E3" s="6" t="s">
        <v>21</v>
      </c>
      <c r="F3" s="6" t="s">
        <v>22</v>
      </c>
      <c r="J3" s="6">
        <v>1</v>
      </c>
      <c r="K3">
        <v>43</v>
      </c>
      <c r="L3">
        <v>8</v>
      </c>
      <c r="M3">
        <f>Matches!D3</f>
        <v>0</v>
      </c>
      <c r="N3" t="b">
        <f>OR(N$2=K3,N$2=L3)</f>
        <v>0</v>
      </c>
    </row>
    <row r="4" spans="1:20" x14ac:dyDescent="0.3">
      <c r="A4">
        <v>43</v>
      </c>
      <c r="B4">
        <v>0</v>
      </c>
      <c r="C4">
        <f>B4/$F$2</f>
        <v>0</v>
      </c>
      <c r="D4">
        <v>0</v>
      </c>
      <c r="E4">
        <f ca="1">RANDBETWEEN(1,99)</f>
        <v>26</v>
      </c>
      <c r="F4">
        <v>1</v>
      </c>
      <c r="J4" s="6">
        <v>1</v>
      </c>
      <c r="K4">
        <v>37</v>
      </c>
      <c r="L4">
        <v>50</v>
      </c>
      <c r="M4">
        <f>Matches!D4</f>
        <v>0</v>
      </c>
      <c r="N4" t="b">
        <f t="shared" ref="N4:N67" si="0">OR(N$2=K4,N$2=L4)</f>
        <v>0</v>
      </c>
    </row>
    <row r="5" spans="1:20" x14ac:dyDescent="0.3">
      <c r="A5">
        <v>8</v>
      </c>
      <c r="B5">
        <v>0</v>
      </c>
      <c r="C5">
        <f>B5/$F$2</f>
        <v>0</v>
      </c>
      <c r="D5">
        <v>0</v>
      </c>
      <c r="E5">
        <f ca="1">RANDBETWEEN(1,99)</f>
        <v>97</v>
      </c>
      <c r="F5">
        <v>1</v>
      </c>
      <c r="J5" s="6">
        <v>1</v>
      </c>
      <c r="K5">
        <v>16</v>
      </c>
      <c r="L5">
        <v>10</v>
      </c>
      <c r="M5">
        <f>Matches!D5</f>
        <v>0</v>
      </c>
      <c r="N5" t="b">
        <f t="shared" si="0"/>
        <v>0</v>
      </c>
    </row>
    <row r="6" spans="1:20" x14ac:dyDescent="0.3">
      <c r="A6">
        <v>37</v>
      </c>
      <c r="B6">
        <v>0</v>
      </c>
      <c r="C6">
        <f>B6/$F$2</f>
        <v>0</v>
      </c>
      <c r="D6">
        <v>0</v>
      </c>
      <c r="E6">
        <f ca="1">RANDBETWEEN(1,99)</f>
        <v>32</v>
      </c>
      <c r="F6">
        <v>1</v>
      </c>
      <c r="J6" s="6">
        <v>1</v>
      </c>
      <c r="K6">
        <v>9</v>
      </c>
      <c r="L6">
        <v>44</v>
      </c>
      <c r="M6">
        <f>Matches!D6</f>
        <v>0</v>
      </c>
      <c r="N6" t="b">
        <f t="shared" si="0"/>
        <v>0</v>
      </c>
    </row>
    <row r="7" spans="1:20" x14ac:dyDescent="0.3">
      <c r="A7">
        <v>50</v>
      </c>
      <c r="B7">
        <v>0</v>
      </c>
      <c r="C7">
        <f>B7/$F$2</f>
        <v>0</v>
      </c>
      <c r="D7">
        <v>0</v>
      </c>
      <c r="E7">
        <f ca="1">RANDBETWEEN(1,99)</f>
        <v>55</v>
      </c>
      <c r="F7">
        <v>1</v>
      </c>
      <c r="J7" s="6">
        <v>1</v>
      </c>
      <c r="K7">
        <v>6</v>
      </c>
      <c r="L7" s="6">
        <v>22</v>
      </c>
      <c r="M7">
        <f>Matches!D7</f>
        <v>0</v>
      </c>
      <c r="N7" t="b">
        <f t="shared" si="0"/>
        <v>0</v>
      </c>
    </row>
    <row r="8" spans="1:20" x14ac:dyDescent="0.3">
      <c r="A8">
        <v>16</v>
      </c>
      <c r="B8">
        <v>0</v>
      </c>
      <c r="C8">
        <f>B8/$F$2</f>
        <v>0</v>
      </c>
      <c r="D8">
        <v>0</v>
      </c>
      <c r="E8">
        <f ca="1">RANDBETWEEN(1,99)</f>
        <v>41</v>
      </c>
      <c r="F8">
        <v>1</v>
      </c>
      <c r="J8" s="6">
        <v>1</v>
      </c>
      <c r="K8">
        <v>7</v>
      </c>
      <c r="L8">
        <v>4</v>
      </c>
      <c r="M8">
        <f>Matches!D8</f>
        <v>0</v>
      </c>
      <c r="N8" t="b">
        <f t="shared" si="0"/>
        <v>0</v>
      </c>
    </row>
    <row r="9" spans="1:20" x14ac:dyDescent="0.3">
      <c r="A9">
        <v>10</v>
      </c>
      <c r="B9">
        <v>0</v>
      </c>
      <c r="C9">
        <f>B9/$F$2</f>
        <v>0</v>
      </c>
      <c r="D9">
        <v>0</v>
      </c>
      <c r="E9">
        <f ca="1">RANDBETWEEN(1,99)</f>
        <v>52</v>
      </c>
      <c r="F9">
        <v>1</v>
      </c>
      <c r="J9" s="6">
        <v>1</v>
      </c>
      <c r="K9">
        <v>36</v>
      </c>
      <c r="L9">
        <v>48</v>
      </c>
      <c r="M9">
        <f>Matches!D9</f>
        <v>0</v>
      </c>
      <c r="N9" t="b">
        <f t="shared" si="0"/>
        <v>0</v>
      </c>
    </row>
    <row r="10" spans="1:20" x14ac:dyDescent="0.3">
      <c r="A10">
        <v>9</v>
      </c>
      <c r="B10">
        <v>0</v>
      </c>
      <c r="C10">
        <f>B10/$F$2</f>
        <v>0</v>
      </c>
      <c r="D10">
        <v>0</v>
      </c>
      <c r="E10">
        <f ca="1">RANDBETWEEN(1,99)</f>
        <v>70</v>
      </c>
      <c r="F10">
        <v>1</v>
      </c>
      <c r="J10" s="6">
        <v>1</v>
      </c>
      <c r="K10">
        <v>19</v>
      </c>
      <c r="L10">
        <v>20</v>
      </c>
      <c r="M10">
        <f>Matches!D10</f>
        <v>0</v>
      </c>
      <c r="N10" t="b">
        <f t="shared" si="0"/>
        <v>0</v>
      </c>
    </row>
    <row r="11" spans="1:20" x14ac:dyDescent="0.3">
      <c r="A11">
        <v>44</v>
      </c>
      <c r="B11">
        <v>0</v>
      </c>
      <c r="C11">
        <f>B11/$F$2</f>
        <v>0</v>
      </c>
      <c r="D11">
        <v>0</v>
      </c>
      <c r="E11">
        <f ca="1">RANDBETWEEN(1,99)</f>
        <v>61</v>
      </c>
      <c r="F11">
        <v>1</v>
      </c>
      <c r="J11" s="6">
        <v>1</v>
      </c>
      <c r="K11">
        <v>42</v>
      </c>
      <c r="L11">
        <v>17</v>
      </c>
      <c r="M11">
        <f>Matches!D11</f>
        <v>0</v>
      </c>
      <c r="N11" t="b">
        <f t="shared" si="0"/>
        <v>0</v>
      </c>
      <c r="Q11" s="6"/>
      <c r="T11" s="6"/>
    </row>
    <row r="12" spans="1:20" x14ac:dyDescent="0.3">
      <c r="A12">
        <v>6</v>
      </c>
      <c r="B12">
        <v>0</v>
      </c>
      <c r="C12">
        <f>B12/$F$2</f>
        <v>0</v>
      </c>
      <c r="D12">
        <v>0</v>
      </c>
      <c r="E12">
        <f ca="1">RANDBETWEEN(1,99)</f>
        <v>29</v>
      </c>
      <c r="F12">
        <v>1</v>
      </c>
      <c r="J12" s="6">
        <v>1</v>
      </c>
      <c r="K12">
        <v>3</v>
      </c>
      <c r="L12">
        <v>18</v>
      </c>
      <c r="M12">
        <f>Matches!D12</f>
        <v>0</v>
      </c>
      <c r="N12" t="b">
        <f t="shared" si="0"/>
        <v>0</v>
      </c>
    </row>
    <row r="13" spans="1:20" x14ac:dyDescent="0.3">
      <c r="A13">
        <v>22</v>
      </c>
      <c r="B13">
        <v>0</v>
      </c>
      <c r="C13">
        <f>B13/$F$2</f>
        <v>0</v>
      </c>
      <c r="D13">
        <v>0</v>
      </c>
      <c r="E13">
        <f ca="1">RANDBETWEEN(1,99)</f>
        <v>51</v>
      </c>
      <c r="F13">
        <v>1</v>
      </c>
      <c r="J13" s="6">
        <v>1</v>
      </c>
      <c r="K13">
        <v>25</v>
      </c>
      <c r="L13">
        <v>28</v>
      </c>
      <c r="M13">
        <f>Matches!D13</f>
        <v>0</v>
      </c>
      <c r="N13" t="b">
        <f t="shared" si="0"/>
        <v>0</v>
      </c>
    </row>
    <row r="14" spans="1:20" x14ac:dyDescent="0.3">
      <c r="A14">
        <v>7</v>
      </c>
      <c r="B14">
        <v>0</v>
      </c>
      <c r="C14">
        <f>B14/$F$2</f>
        <v>0</v>
      </c>
      <c r="D14">
        <v>0</v>
      </c>
      <c r="E14">
        <f ca="1">RANDBETWEEN(1,99)</f>
        <v>63</v>
      </c>
      <c r="F14">
        <v>1</v>
      </c>
      <c r="J14" s="6">
        <v>1</v>
      </c>
      <c r="K14">
        <v>47</v>
      </c>
      <c r="L14" s="6">
        <v>33</v>
      </c>
      <c r="M14">
        <f>Matches!D14</f>
        <v>0</v>
      </c>
      <c r="N14" t="b">
        <f t="shared" si="0"/>
        <v>0</v>
      </c>
    </row>
    <row r="15" spans="1:20" x14ac:dyDescent="0.3">
      <c r="A15">
        <v>4</v>
      </c>
      <c r="B15">
        <v>0</v>
      </c>
      <c r="C15">
        <f>B15/$F$2</f>
        <v>0</v>
      </c>
      <c r="D15">
        <v>0</v>
      </c>
      <c r="E15">
        <f ca="1">RANDBETWEEN(1,99)</f>
        <v>76</v>
      </c>
      <c r="F15">
        <v>1</v>
      </c>
      <c r="J15" s="6">
        <v>1</v>
      </c>
      <c r="K15">
        <v>11</v>
      </c>
      <c r="L15">
        <v>45</v>
      </c>
      <c r="M15">
        <f>Matches!D15</f>
        <v>0</v>
      </c>
      <c r="N15" t="b">
        <f t="shared" si="0"/>
        <v>0</v>
      </c>
    </row>
    <row r="16" spans="1:20" x14ac:dyDescent="0.3">
      <c r="A16">
        <v>36</v>
      </c>
      <c r="B16">
        <v>0</v>
      </c>
      <c r="C16">
        <f>B16/$F$2</f>
        <v>0</v>
      </c>
      <c r="D16">
        <v>0</v>
      </c>
      <c r="E16">
        <f ca="1">RANDBETWEEN(1,99)</f>
        <v>55</v>
      </c>
      <c r="F16">
        <v>1</v>
      </c>
      <c r="J16" s="6">
        <v>1</v>
      </c>
      <c r="K16">
        <v>30</v>
      </c>
      <c r="L16">
        <v>40</v>
      </c>
      <c r="M16">
        <f>Matches!D16</f>
        <v>0</v>
      </c>
      <c r="N16" t="b">
        <f t="shared" si="0"/>
        <v>0</v>
      </c>
    </row>
    <row r="17" spans="1:14" x14ac:dyDescent="0.3">
      <c r="A17">
        <v>48</v>
      </c>
      <c r="B17">
        <v>0</v>
      </c>
      <c r="C17">
        <f>B17/$F$2</f>
        <v>0</v>
      </c>
      <c r="D17">
        <v>0</v>
      </c>
      <c r="E17">
        <f ca="1">RANDBETWEEN(1,99)</f>
        <v>21</v>
      </c>
      <c r="F17">
        <v>1</v>
      </c>
      <c r="J17" s="6">
        <v>1</v>
      </c>
      <c r="K17">
        <v>21</v>
      </c>
      <c r="L17">
        <v>31</v>
      </c>
      <c r="M17">
        <f>Matches!D17</f>
        <v>0</v>
      </c>
      <c r="N17" t="b">
        <f t="shared" si="0"/>
        <v>1</v>
      </c>
    </row>
    <row r="18" spans="1:14" x14ac:dyDescent="0.3">
      <c r="A18">
        <v>19</v>
      </c>
      <c r="B18">
        <v>0</v>
      </c>
      <c r="C18">
        <f>B18/$F$2</f>
        <v>0</v>
      </c>
      <c r="D18">
        <v>0</v>
      </c>
      <c r="E18">
        <f ca="1">RANDBETWEEN(1,99)</f>
        <v>24</v>
      </c>
      <c r="F18">
        <v>1</v>
      </c>
      <c r="J18" s="6">
        <v>1</v>
      </c>
      <c r="K18">
        <v>2</v>
      </c>
      <c r="L18">
        <v>24</v>
      </c>
      <c r="M18">
        <f>Matches!D18</f>
        <v>0</v>
      </c>
      <c r="N18" t="b">
        <f t="shared" si="0"/>
        <v>0</v>
      </c>
    </row>
    <row r="19" spans="1:14" x14ac:dyDescent="0.3">
      <c r="A19">
        <v>20</v>
      </c>
      <c r="B19">
        <v>0</v>
      </c>
      <c r="C19">
        <f>B19/$F$2</f>
        <v>0</v>
      </c>
      <c r="D19">
        <v>0</v>
      </c>
      <c r="E19">
        <f ca="1">RANDBETWEEN(1,99)</f>
        <v>20</v>
      </c>
      <c r="F19">
        <v>1</v>
      </c>
      <c r="J19" s="6">
        <v>1</v>
      </c>
      <c r="K19">
        <v>38</v>
      </c>
      <c r="L19">
        <v>23</v>
      </c>
      <c r="M19">
        <f>Matches!D19</f>
        <v>0</v>
      </c>
      <c r="N19" t="b">
        <f t="shared" si="0"/>
        <v>0</v>
      </c>
    </row>
    <row r="20" spans="1:14" x14ac:dyDescent="0.3">
      <c r="A20">
        <v>42</v>
      </c>
      <c r="B20">
        <v>0</v>
      </c>
      <c r="C20">
        <f>B20/$F$2</f>
        <v>0</v>
      </c>
      <c r="D20">
        <v>0</v>
      </c>
      <c r="E20">
        <f ca="1">RANDBETWEEN(1,99)</f>
        <v>84</v>
      </c>
      <c r="F20">
        <v>1</v>
      </c>
      <c r="J20" s="6">
        <v>1</v>
      </c>
      <c r="K20">
        <v>32</v>
      </c>
      <c r="L20">
        <v>41</v>
      </c>
      <c r="M20">
        <f>Matches!D20</f>
        <v>0</v>
      </c>
      <c r="N20" t="b">
        <f t="shared" si="0"/>
        <v>0</v>
      </c>
    </row>
    <row r="21" spans="1:14" x14ac:dyDescent="0.3">
      <c r="A21">
        <v>17</v>
      </c>
      <c r="B21">
        <v>0</v>
      </c>
      <c r="C21">
        <f>B21/$F$2</f>
        <v>0</v>
      </c>
      <c r="D21">
        <v>0</v>
      </c>
      <c r="E21">
        <f ca="1">RANDBETWEEN(1,99)</f>
        <v>86</v>
      </c>
      <c r="F21">
        <v>1</v>
      </c>
      <c r="J21" s="6">
        <v>1</v>
      </c>
      <c r="K21">
        <v>46</v>
      </c>
      <c r="L21">
        <v>12</v>
      </c>
      <c r="M21">
        <f>Matches!D21</f>
        <v>0</v>
      </c>
      <c r="N21" t="b">
        <f t="shared" si="0"/>
        <v>0</v>
      </c>
    </row>
    <row r="22" spans="1:14" x14ac:dyDescent="0.3">
      <c r="A22">
        <v>3</v>
      </c>
      <c r="B22">
        <v>0</v>
      </c>
      <c r="C22">
        <f>B22/$F$2</f>
        <v>0</v>
      </c>
      <c r="D22">
        <v>0</v>
      </c>
      <c r="E22">
        <f ca="1">RANDBETWEEN(1,99)</f>
        <v>10</v>
      </c>
      <c r="F22">
        <v>1</v>
      </c>
      <c r="J22" s="6">
        <v>1</v>
      </c>
      <c r="K22">
        <v>39</v>
      </c>
      <c r="L22">
        <v>26</v>
      </c>
      <c r="M22">
        <f>Matches!D22</f>
        <v>0</v>
      </c>
      <c r="N22" t="b">
        <f t="shared" si="0"/>
        <v>0</v>
      </c>
    </row>
    <row r="23" spans="1:14" x14ac:dyDescent="0.3">
      <c r="A23">
        <v>18</v>
      </c>
      <c r="B23">
        <v>0</v>
      </c>
      <c r="C23">
        <f>B23/$F$2</f>
        <v>0</v>
      </c>
      <c r="D23">
        <v>0</v>
      </c>
      <c r="E23">
        <f ca="1">RANDBETWEEN(1,99)</f>
        <v>87</v>
      </c>
      <c r="F23">
        <v>1</v>
      </c>
      <c r="J23" s="6">
        <v>1</v>
      </c>
      <c r="K23">
        <v>1</v>
      </c>
      <c r="L23">
        <v>29</v>
      </c>
      <c r="M23">
        <f>Matches!D23</f>
        <v>0</v>
      </c>
      <c r="N23" t="b">
        <f t="shared" si="0"/>
        <v>0</v>
      </c>
    </row>
    <row r="24" spans="1:14" x14ac:dyDescent="0.3">
      <c r="A24">
        <v>25</v>
      </c>
      <c r="B24">
        <v>0</v>
      </c>
      <c r="C24">
        <f>B24/$F$2</f>
        <v>0</v>
      </c>
      <c r="D24">
        <v>0</v>
      </c>
      <c r="E24">
        <f ca="1">RANDBETWEEN(1,99)</f>
        <v>85</v>
      </c>
      <c r="F24">
        <v>1</v>
      </c>
      <c r="J24" s="6">
        <v>1</v>
      </c>
      <c r="K24">
        <v>49</v>
      </c>
      <c r="L24">
        <v>14</v>
      </c>
      <c r="M24">
        <f>Matches!D24</f>
        <v>0</v>
      </c>
      <c r="N24" t="b">
        <f t="shared" si="0"/>
        <v>0</v>
      </c>
    </row>
    <row r="25" spans="1:14" x14ac:dyDescent="0.3">
      <c r="A25">
        <v>28</v>
      </c>
      <c r="B25">
        <v>0</v>
      </c>
      <c r="C25">
        <f>B25/$F$2</f>
        <v>0</v>
      </c>
      <c r="D25">
        <v>0</v>
      </c>
      <c r="E25">
        <f ca="1">RANDBETWEEN(1,99)</f>
        <v>44</v>
      </c>
      <c r="F25">
        <v>1</v>
      </c>
      <c r="J25" s="6">
        <v>1</v>
      </c>
      <c r="K25">
        <v>15</v>
      </c>
      <c r="L25">
        <v>35</v>
      </c>
      <c r="M25">
        <f>Matches!D25</f>
        <v>0</v>
      </c>
      <c r="N25" t="b">
        <f t="shared" si="0"/>
        <v>0</v>
      </c>
    </row>
    <row r="26" spans="1:14" x14ac:dyDescent="0.3">
      <c r="A26">
        <v>47</v>
      </c>
      <c r="B26">
        <v>0</v>
      </c>
      <c r="C26">
        <f>B26/$F$2</f>
        <v>0</v>
      </c>
      <c r="D26">
        <v>0</v>
      </c>
      <c r="E26">
        <f ca="1">RANDBETWEEN(1,99)</f>
        <v>74</v>
      </c>
      <c r="F26">
        <v>1</v>
      </c>
      <c r="J26" s="6">
        <v>1</v>
      </c>
      <c r="K26">
        <v>5</v>
      </c>
      <c r="L26">
        <v>13</v>
      </c>
      <c r="M26">
        <f>Matches!D26</f>
        <v>0</v>
      </c>
      <c r="N26" t="b">
        <f t="shared" si="0"/>
        <v>0</v>
      </c>
    </row>
    <row r="27" spans="1:14" x14ac:dyDescent="0.3">
      <c r="A27">
        <v>33</v>
      </c>
      <c r="B27">
        <v>0</v>
      </c>
      <c r="C27">
        <f>B27/$F$2</f>
        <v>0</v>
      </c>
      <c r="D27">
        <v>0</v>
      </c>
      <c r="E27">
        <f ca="1">RANDBETWEEN(1,99)</f>
        <v>45</v>
      </c>
      <c r="F27">
        <v>1</v>
      </c>
      <c r="J27" s="6">
        <v>1</v>
      </c>
      <c r="K27">
        <v>34</v>
      </c>
      <c r="L27">
        <v>27</v>
      </c>
      <c r="M27">
        <f>Matches!D27</f>
        <v>0</v>
      </c>
      <c r="N27" t="b">
        <f t="shared" si="0"/>
        <v>0</v>
      </c>
    </row>
    <row r="28" spans="1:14" x14ac:dyDescent="0.3">
      <c r="A28">
        <v>11</v>
      </c>
      <c r="B28">
        <v>0</v>
      </c>
      <c r="C28">
        <f>B28/$F$2</f>
        <v>0</v>
      </c>
      <c r="D28">
        <v>0</v>
      </c>
      <c r="E28">
        <f ca="1">RANDBETWEEN(1,99)</f>
        <v>34</v>
      </c>
      <c r="F28">
        <v>1</v>
      </c>
      <c r="N28" t="b">
        <f t="shared" si="0"/>
        <v>0</v>
      </c>
    </row>
    <row r="29" spans="1:14" x14ac:dyDescent="0.3">
      <c r="A29">
        <v>45</v>
      </c>
      <c r="B29">
        <v>0</v>
      </c>
      <c r="C29">
        <f>B29/$F$2</f>
        <v>0</v>
      </c>
      <c r="D29">
        <v>0</v>
      </c>
      <c r="E29">
        <f ca="1">RANDBETWEEN(1,99)</f>
        <v>41</v>
      </c>
      <c r="F29">
        <v>1</v>
      </c>
      <c r="N29" t="b">
        <f t="shared" si="0"/>
        <v>0</v>
      </c>
    </row>
    <row r="30" spans="1:14" x14ac:dyDescent="0.3">
      <c r="A30">
        <v>30</v>
      </c>
      <c r="B30">
        <v>0</v>
      </c>
      <c r="C30">
        <f>B30/$F$2</f>
        <v>0</v>
      </c>
      <c r="D30">
        <v>0</v>
      </c>
      <c r="E30">
        <f ca="1">RANDBETWEEN(1,99)</f>
        <v>78</v>
      </c>
      <c r="F30">
        <v>1</v>
      </c>
      <c r="N30" t="b">
        <f t="shared" si="0"/>
        <v>0</v>
      </c>
    </row>
    <row r="31" spans="1:14" x14ac:dyDescent="0.3">
      <c r="A31">
        <v>40</v>
      </c>
      <c r="B31">
        <v>0</v>
      </c>
      <c r="C31">
        <f>B31/$F$2</f>
        <v>0</v>
      </c>
      <c r="D31">
        <v>0</v>
      </c>
      <c r="E31">
        <f ca="1">RANDBETWEEN(1,99)</f>
        <v>94</v>
      </c>
      <c r="F31">
        <v>1</v>
      </c>
      <c r="N31" t="b">
        <f t="shared" si="0"/>
        <v>0</v>
      </c>
    </row>
    <row r="32" spans="1:14" x14ac:dyDescent="0.3">
      <c r="A32">
        <v>21</v>
      </c>
      <c r="B32">
        <v>0</v>
      </c>
      <c r="C32">
        <f>B32/$F$2</f>
        <v>0</v>
      </c>
      <c r="D32">
        <v>0</v>
      </c>
      <c r="E32">
        <f ca="1">RANDBETWEEN(1,99)</f>
        <v>67</v>
      </c>
      <c r="F32">
        <v>1</v>
      </c>
      <c r="N32" t="b">
        <f t="shared" si="0"/>
        <v>0</v>
      </c>
    </row>
    <row r="33" spans="1:14" x14ac:dyDescent="0.3">
      <c r="A33">
        <v>31</v>
      </c>
      <c r="B33">
        <v>0</v>
      </c>
      <c r="C33">
        <f>B33/$F$2</f>
        <v>0</v>
      </c>
      <c r="D33">
        <v>0</v>
      </c>
      <c r="E33">
        <f ca="1">RANDBETWEEN(1,99)</f>
        <v>4</v>
      </c>
      <c r="F33">
        <v>1</v>
      </c>
      <c r="N33" t="b">
        <f t="shared" si="0"/>
        <v>0</v>
      </c>
    </row>
    <row r="34" spans="1:14" x14ac:dyDescent="0.3">
      <c r="A34">
        <v>2</v>
      </c>
      <c r="B34">
        <v>0</v>
      </c>
      <c r="C34">
        <f>B34/$F$2</f>
        <v>0</v>
      </c>
      <c r="D34">
        <v>0</v>
      </c>
      <c r="E34">
        <f ca="1">RANDBETWEEN(1,99)</f>
        <v>33</v>
      </c>
      <c r="F34">
        <v>1</v>
      </c>
      <c r="N34" t="b">
        <f t="shared" si="0"/>
        <v>0</v>
      </c>
    </row>
    <row r="35" spans="1:14" x14ac:dyDescent="0.3">
      <c r="A35">
        <v>24</v>
      </c>
      <c r="B35">
        <v>0</v>
      </c>
      <c r="C35">
        <f>B35/$F$2</f>
        <v>0</v>
      </c>
      <c r="D35">
        <v>0</v>
      </c>
      <c r="E35">
        <f ca="1">RANDBETWEEN(1,99)</f>
        <v>4</v>
      </c>
      <c r="F35">
        <v>1</v>
      </c>
      <c r="N35" t="b">
        <f t="shared" si="0"/>
        <v>0</v>
      </c>
    </row>
    <row r="36" spans="1:14" x14ac:dyDescent="0.3">
      <c r="A36">
        <v>38</v>
      </c>
      <c r="B36">
        <v>0</v>
      </c>
      <c r="C36">
        <f>B36/$F$2</f>
        <v>0</v>
      </c>
      <c r="D36">
        <v>0</v>
      </c>
      <c r="E36">
        <f ca="1">RANDBETWEEN(1,99)</f>
        <v>68</v>
      </c>
      <c r="F36">
        <v>1</v>
      </c>
      <c r="N36" t="b">
        <f t="shared" si="0"/>
        <v>0</v>
      </c>
    </row>
    <row r="37" spans="1:14" x14ac:dyDescent="0.3">
      <c r="A37">
        <v>23</v>
      </c>
      <c r="B37">
        <v>0</v>
      </c>
      <c r="C37">
        <f>B37/$F$2</f>
        <v>0</v>
      </c>
      <c r="D37">
        <v>0</v>
      </c>
      <c r="E37">
        <f ca="1">RANDBETWEEN(1,99)</f>
        <v>58</v>
      </c>
      <c r="F37">
        <v>1</v>
      </c>
      <c r="N37" t="b">
        <f t="shared" si="0"/>
        <v>0</v>
      </c>
    </row>
    <row r="38" spans="1:14" x14ac:dyDescent="0.3">
      <c r="A38">
        <v>32</v>
      </c>
      <c r="B38">
        <v>0</v>
      </c>
      <c r="C38">
        <f>B38/$F$2</f>
        <v>0</v>
      </c>
      <c r="D38">
        <v>0</v>
      </c>
      <c r="E38">
        <f ca="1">RANDBETWEEN(1,99)</f>
        <v>86</v>
      </c>
      <c r="F38">
        <v>1</v>
      </c>
      <c r="N38" t="b">
        <f t="shared" si="0"/>
        <v>0</v>
      </c>
    </row>
    <row r="39" spans="1:14" x14ac:dyDescent="0.3">
      <c r="A39">
        <v>41</v>
      </c>
      <c r="B39">
        <v>0</v>
      </c>
      <c r="C39">
        <f>B39/$F$2</f>
        <v>0</v>
      </c>
      <c r="D39">
        <v>0</v>
      </c>
      <c r="E39">
        <f ca="1">RANDBETWEEN(1,99)</f>
        <v>82</v>
      </c>
      <c r="F39">
        <v>1</v>
      </c>
      <c r="N39" t="b">
        <f t="shared" si="0"/>
        <v>0</v>
      </c>
    </row>
    <row r="40" spans="1:14" x14ac:dyDescent="0.3">
      <c r="A40">
        <v>46</v>
      </c>
      <c r="B40">
        <v>0</v>
      </c>
      <c r="C40">
        <f>B40/$F$2</f>
        <v>0</v>
      </c>
      <c r="D40">
        <v>0</v>
      </c>
      <c r="E40">
        <f ca="1">RANDBETWEEN(1,99)</f>
        <v>14</v>
      </c>
      <c r="F40">
        <v>1</v>
      </c>
      <c r="N40" t="b">
        <f t="shared" si="0"/>
        <v>0</v>
      </c>
    </row>
    <row r="41" spans="1:14" x14ac:dyDescent="0.3">
      <c r="A41">
        <v>12</v>
      </c>
      <c r="B41">
        <v>0</v>
      </c>
      <c r="C41">
        <f>B41/$F$2</f>
        <v>0</v>
      </c>
      <c r="D41">
        <v>0</v>
      </c>
      <c r="E41">
        <f ca="1">RANDBETWEEN(1,99)</f>
        <v>90</v>
      </c>
      <c r="F41">
        <v>1</v>
      </c>
      <c r="N41" t="b">
        <f t="shared" si="0"/>
        <v>0</v>
      </c>
    </row>
    <row r="42" spans="1:14" x14ac:dyDescent="0.3">
      <c r="A42">
        <v>39</v>
      </c>
      <c r="B42">
        <v>0</v>
      </c>
      <c r="C42">
        <f>B42/$F$2</f>
        <v>0</v>
      </c>
      <c r="D42">
        <v>0</v>
      </c>
      <c r="E42">
        <f ca="1">RANDBETWEEN(1,99)</f>
        <v>12</v>
      </c>
      <c r="F42">
        <v>1</v>
      </c>
      <c r="N42" t="b">
        <f t="shared" si="0"/>
        <v>0</v>
      </c>
    </row>
    <row r="43" spans="1:14" x14ac:dyDescent="0.3">
      <c r="A43">
        <v>26</v>
      </c>
      <c r="B43">
        <v>0</v>
      </c>
      <c r="C43">
        <f>B43/$F$2</f>
        <v>0</v>
      </c>
      <c r="D43">
        <v>0</v>
      </c>
      <c r="E43">
        <f ca="1">RANDBETWEEN(1,99)</f>
        <v>6</v>
      </c>
      <c r="F43">
        <v>1</v>
      </c>
      <c r="N43" t="b">
        <f t="shared" si="0"/>
        <v>0</v>
      </c>
    </row>
    <row r="44" spans="1:14" x14ac:dyDescent="0.3">
      <c r="A44">
        <v>1</v>
      </c>
      <c r="B44">
        <v>0</v>
      </c>
      <c r="C44">
        <f>B44/$F$2</f>
        <v>0</v>
      </c>
      <c r="D44">
        <v>0</v>
      </c>
      <c r="E44">
        <f ca="1">RANDBETWEEN(1,99)</f>
        <v>94</v>
      </c>
      <c r="F44">
        <v>1</v>
      </c>
      <c r="N44" t="b">
        <f t="shared" si="0"/>
        <v>0</v>
      </c>
    </row>
    <row r="45" spans="1:14" x14ac:dyDescent="0.3">
      <c r="A45">
        <v>29</v>
      </c>
      <c r="B45">
        <v>0</v>
      </c>
      <c r="C45">
        <f>B45/$F$2</f>
        <v>0</v>
      </c>
      <c r="D45">
        <v>0</v>
      </c>
      <c r="E45">
        <f ca="1">RANDBETWEEN(1,99)</f>
        <v>55</v>
      </c>
      <c r="F45">
        <v>1</v>
      </c>
      <c r="N45" t="b">
        <f t="shared" si="0"/>
        <v>0</v>
      </c>
    </row>
    <row r="46" spans="1:14" x14ac:dyDescent="0.3">
      <c r="A46">
        <v>49</v>
      </c>
      <c r="B46">
        <v>0</v>
      </c>
      <c r="C46">
        <f>B46/$F$2</f>
        <v>0</v>
      </c>
      <c r="D46">
        <v>0</v>
      </c>
      <c r="E46">
        <f ca="1">RANDBETWEEN(1,99)</f>
        <v>37</v>
      </c>
      <c r="F46">
        <v>1</v>
      </c>
      <c r="N46" t="b">
        <f t="shared" si="0"/>
        <v>0</v>
      </c>
    </row>
    <row r="47" spans="1:14" x14ac:dyDescent="0.3">
      <c r="A47">
        <v>14</v>
      </c>
      <c r="B47">
        <v>0</v>
      </c>
      <c r="C47">
        <f>B47/$F$2</f>
        <v>0</v>
      </c>
      <c r="D47">
        <v>0</v>
      </c>
      <c r="E47">
        <f ca="1">RANDBETWEEN(1,99)</f>
        <v>11</v>
      </c>
      <c r="F47">
        <v>1</v>
      </c>
      <c r="N47" t="b">
        <f t="shared" si="0"/>
        <v>0</v>
      </c>
    </row>
    <row r="48" spans="1:14" x14ac:dyDescent="0.3">
      <c r="A48">
        <v>15</v>
      </c>
      <c r="B48">
        <v>0</v>
      </c>
      <c r="C48">
        <f>B48/$F$2</f>
        <v>0</v>
      </c>
      <c r="D48">
        <v>0</v>
      </c>
      <c r="E48">
        <f ca="1">RANDBETWEEN(1,99)</f>
        <v>80</v>
      </c>
      <c r="F48">
        <v>1</v>
      </c>
      <c r="N48" t="b">
        <f t="shared" si="0"/>
        <v>0</v>
      </c>
    </row>
    <row r="49" spans="1:18" x14ac:dyDescent="0.3">
      <c r="A49">
        <v>35</v>
      </c>
      <c r="B49">
        <v>0</v>
      </c>
      <c r="C49">
        <f>B49/$F$2</f>
        <v>0</v>
      </c>
      <c r="D49">
        <v>0</v>
      </c>
      <c r="E49">
        <f ca="1">RANDBETWEEN(1,99)</f>
        <v>40</v>
      </c>
      <c r="F49">
        <v>1</v>
      </c>
      <c r="N49" t="b">
        <f t="shared" si="0"/>
        <v>0</v>
      </c>
    </row>
    <row r="50" spans="1:18" x14ac:dyDescent="0.3">
      <c r="A50">
        <v>5</v>
      </c>
      <c r="B50">
        <v>0</v>
      </c>
      <c r="C50">
        <f>B50/$F$2</f>
        <v>0</v>
      </c>
      <c r="D50">
        <v>0</v>
      </c>
      <c r="E50">
        <f ca="1">RANDBETWEEN(1,99)</f>
        <v>50</v>
      </c>
      <c r="F50">
        <v>1</v>
      </c>
      <c r="N50" t="b">
        <f t="shared" si="0"/>
        <v>0</v>
      </c>
    </row>
    <row r="51" spans="1:18" x14ac:dyDescent="0.3">
      <c r="A51">
        <v>13</v>
      </c>
      <c r="B51">
        <v>0</v>
      </c>
      <c r="C51">
        <f>B51/$F$2</f>
        <v>0</v>
      </c>
      <c r="D51">
        <v>0</v>
      </c>
      <c r="E51">
        <f ca="1">RANDBETWEEN(1,99)</f>
        <v>88</v>
      </c>
      <c r="F51">
        <v>1</v>
      </c>
      <c r="N51" t="b">
        <f t="shared" si="0"/>
        <v>0</v>
      </c>
      <c r="P51">
        <v>22</v>
      </c>
    </row>
    <row r="52" spans="1:18" x14ac:dyDescent="0.3">
      <c r="A52">
        <v>34</v>
      </c>
      <c r="B52">
        <v>0</v>
      </c>
      <c r="C52">
        <f>B52/$F$2</f>
        <v>0</v>
      </c>
      <c r="D52">
        <v>0</v>
      </c>
      <c r="E52">
        <f ca="1">RANDBETWEEN(1,99)</f>
        <v>27</v>
      </c>
      <c r="F52">
        <v>1</v>
      </c>
      <c r="N52" t="b">
        <f t="shared" si="0"/>
        <v>0</v>
      </c>
      <c r="P52">
        <v>1</v>
      </c>
    </row>
    <row r="53" spans="1:18" x14ac:dyDescent="0.3">
      <c r="A53">
        <v>27</v>
      </c>
      <c r="B53">
        <v>0</v>
      </c>
      <c r="C53">
        <f>B53/$F$2</f>
        <v>0</v>
      </c>
      <c r="D53">
        <v>0</v>
      </c>
      <c r="E53">
        <f ca="1">RANDBETWEEN(1,99)</f>
        <v>58</v>
      </c>
      <c r="F53">
        <v>1</v>
      </c>
      <c r="N53" t="b">
        <f t="shared" si="0"/>
        <v>0</v>
      </c>
      <c r="P53">
        <v>2</v>
      </c>
    </row>
    <row r="54" spans="1:18" x14ac:dyDescent="0.3">
      <c r="F54">
        <v>0</v>
      </c>
      <c r="N54" t="b">
        <f t="shared" si="0"/>
        <v>0</v>
      </c>
      <c r="P54">
        <v>3</v>
      </c>
    </row>
    <row r="55" spans="1:18" x14ac:dyDescent="0.3">
      <c r="F55">
        <v>0</v>
      </c>
      <c r="N55" t="b">
        <f t="shared" si="0"/>
        <v>0</v>
      </c>
      <c r="P55">
        <v>4</v>
      </c>
      <c r="R55">
        <v>1</v>
      </c>
    </row>
    <row r="56" spans="1:18" x14ac:dyDescent="0.3">
      <c r="F56">
        <v>0</v>
      </c>
      <c r="N56" t="b">
        <f t="shared" si="0"/>
        <v>0</v>
      </c>
      <c r="P56">
        <v>5</v>
      </c>
      <c r="R56">
        <v>2</v>
      </c>
    </row>
    <row r="57" spans="1:18" x14ac:dyDescent="0.3">
      <c r="F57">
        <v>0</v>
      </c>
      <c r="N57" t="b">
        <f t="shared" si="0"/>
        <v>0</v>
      </c>
      <c r="P57">
        <v>6</v>
      </c>
      <c r="R57">
        <v>3</v>
      </c>
    </row>
    <row r="58" spans="1:18" x14ac:dyDescent="0.3">
      <c r="F58">
        <v>0</v>
      </c>
      <c r="N58" t="b">
        <f t="shared" si="0"/>
        <v>0</v>
      </c>
      <c r="P58">
        <v>7</v>
      </c>
      <c r="R58">
        <v>4</v>
      </c>
    </row>
    <row r="59" spans="1:18" x14ac:dyDescent="0.3">
      <c r="F59">
        <v>0</v>
      </c>
      <c r="N59" t="b">
        <f t="shared" si="0"/>
        <v>0</v>
      </c>
      <c r="P59">
        <v>8</v>
      </c>
      <c r="R59">
        <v>5</v>
      </c>
    </row>
    <row r="60" spans="1:18" x14ac:dyDescent="0.3">
      <c r="F60">
        <v>0</v>
      </c>
      <c r="N60" t="b">
        <f t="shared" si="0"/>
        <v>0</v>
      </c>
      <c r="P60">
        <v>9</v>
      </c>
      <c r="R60">
        <v>6</v>
      </c>
    </row>
    <row r="61" spans="1:18" x14ac:dyDescent="0.3">
      <c r="F61">
        <v>0</v>
      </c>
      <c r="N61" t="b">
        <f t="shared" si="0"/>
        <v>0</v>
      </c>
      <c r="P61">
        <v>10</v>
      </c>
      <c r="R61">
        <v>7</v>
      </c>
    </row>
    <row r="62" spans="1:18" x14ac:dyDescent="0.3">
      <c r="F62">
        <v>0</v>
      </c>
      <c r="N62" t="b">
        <f t="shared" si="0"/>
        <v>0</v>
      </c>
      <c r="P62">
        <v>11</v>
      </c>
      <c r="R62">
        <v>8</v>
      </c>
    </row>
    <row r="63" spans="1:18" x14ac:dyDescent="0.3">
      <c r="F63">
        <v>0</v>
      </c>
      <c r="N63" t="b">
        <f t="shared" si="0"/>
        <v>0</v>
      </c>
      <c r="P63">
        <v>12</v>
      </c>
      <c r="R63">
        <v>9</v>
      </c>
    </row>
    <row r="64" spans="1:18" x14ac:dyDescent="0.3">
      <c r="F64">
        <v>0</v>
      </c>
      <c r="N64" t="b">
        <f t="shared" si="0"/>
        <v>0</v>
      </c>
      <c r="P64">
        <v>13</v>
      </c>
      <c r="R64">
        <v>10</v>
      </c>
    </row>
    <row r="65" spans="6:18" x14ac:dyDescent="0.3">
      <c r="F65">
        <v>0</v>
      </c>
      <c r="N65" t="b">
        <f t="shared" si="0"/>
        <v>0</v>
      </c>
      <c r="P65">
        <v>14</v>
      </c>
      <c r="R65">
        <v>11</v>
      </c>
    </row>
    <row r="66" spans="6:18" x14ac:dyDescent="0.3">
      <c r="F66">
        <v>0</v>
      </c>
      <c r="N66" t="b">
        <f t="shared" si="0"/>
        <v>0</v>
      </c>
      <c r="P66">
        <v>15</v>
      </c>
      <c r="R66">
        <v>12</v>
      </c>
    </row>
    <row r="67" spans="6:18" x14ac:dyDescent="0.3">
      <c r="F67">
        <v>0</v>
      </c>
      <c r="N67" t="b">
        <f t="shared" si="0"/>
        <v>0</v>
      </c>
      <c r="P67">
        <v>16</v>
      </c>
      <c r="R67">
        <v>13</v>
      </c>
    </row>
    <row r="68" spans="6:18" x14ac:dyDescent="0.3">
      <c r="F68">
        <v>0</v>
      </c>
      <c r="N68" t="b">
        <f t="shared" ref="N68:N77" si="1">OR(N$2=K68,N$2=L68)</f>
        <v>0</v>
      </c>
      <c r="P68">
        <v>18</v>
      </c>
      <c r="R68">
        <v>14</v>
      </c>
    </row>
    <row r="69" spans="6:18" x14ac:dyDescent="0.3">
      <c r="F69">
        <v>0</v>
      </c>
      <c r="N69" t="b">
        <f t="shared" si="1"/>
        <v>0</v>
      </c>
      <c r="P69">
        <v>19</v>
      </c>
      <c r="R69">
        <v>15</v>
      </c>
    </row>
    <row r="70" spans="6:18" x14ac:dyDescent="0.3">
      <c r="F70">
        <v>0</v>
      </c>
      <c r="N70" t="b">
        <f t="shared" si="1"/>
        <v>0</v>
      </c>
      <c r="P70">
        <v>20</v>
      </c>
      <c r="R70">
        <v>16</v>
      </c>
    </row>
    <row r="71" spans="6:18" x14ac:dyDescent="0.3">
      <c r="F71">
        <v>0</v>
      </c>
      <c r="N71" t="b">
        <f t="shared" si="1"/>
        <v>0</v>
      </c>
      <c r="P71">
        <v>21</v>
      </c>
      <c r="R71">
        <v>18</v>
      </c>
    </row>
    <row r="72" spans="6:18" x14ac:dyDescent="0.3">
      <c r="F72">
        <v>0</v>
      </c>
      <c r="N72" t="b">
        <f t="shared" si="1"/>
        <v>0</v>
      </c>
      <c r="P72">
        <v>23</v>
      </c>
      <c r="R72">
        <v>19</v>
      </c>
    </row>
    <row r="73" spans="6:18" x14ac:dyDescent="0.3">
      <c r="F73">
        <v>0</v>
      </c>
      <c r="N73" t="b">
        <f t="shared" si="1"/>
        <v>0</v>
      </c>
      <c r="P73">
        <v>24</v>
      </c>
      <c r="R73">
        <v>20</v>
      </c>
    </row>
    <row r="74" spans="6:18" x14ac:dyDescent="0.3">
      <c r="F74">
        <v>0</v>
      </c>
      <c r="N74" t="b">
        <f t="shared" si="1"/>
        <v>0</v>
      </c>
      <c r="P74">
        <v>25</v>
      </c>
      <c r="R74">
        <v>21</v>
      </c>
    </row>
    <row r="75" spans="6:18" x14ac:dyDescent="0.3">
      <c r="F75">
        <v>0</v>
      </c>
      <c r="N75" t="b">
        <f t="shared" si="1"/>
        <v>0</v>
      </c>
      <c r="P75">
        <v>25</v>
      </c>
      <c r="R75">
        <v>22</v>
      </c>
    </row>
    <row r="76" spans="6:18" x14ac:dyDescent="0.3">
      <c r="F76">
        <v>0</v>
      </c>
      <c r="N76" t="b">
        <f t="shared" si="1"/>
        <v>0</v>
      </c>
      <c r="P76">
        <v>26</v>
      </c>
      <c r="R76">
        <v>23</v>
      </c>
    </row>
    <row r="77" spans="6:18" x14ac:dyDescent="0.3">
      <c r="F77">
        <v>0</v>
      </c>
      <c r="N77" t="b">
        <f t="shared" si="1"/>
        <v>0</v>
      </c>
      <c r="P77">
        <v>27</v>
      </c>
      <c r="R77">
        <v>24</v>
      </c>
    </row>
    <row r="78" spans="6:18" x14ac:dyDescent="0.3">
      <c r="F78">
        <v>0</v>
      </c>
      <c r="P78">
        <v>28</v>
      </c>
      <c r="R78">
        <v>25</v>
      </c>
    </row>
    <row r="79" spans="6:18" x14ac:dyDescent="0.3">
      <c r="F79">
        <v>0</v>
      </c>
      <c r="P79">
        <v>29</v>
      </c>
      <c r="R79">
        <v>26</v>
      </c>
    </row>
    <row r="80" spans="6:18" x14ac:dyDescent="0.3">
      <c r="F80">
        <v>0</v>
      </c>
      <c r="P80">
        <v>30</v>
      </c>
      <c r="R80">
        <v>27</v>
      </c>
    </row>
    <row r="81" spans="6:18" x14ac:dyDescent="0.3">
      <c r="F81">
        <v>0</v>
      </c>
      <c r="P81">
        <v>31</v>
      </c>
      <c r="R81">
        <v>28</v>
      </c>
    </row>
    <row r="82" spans="6:18" x14ac:dyDescent="0.3">
      <c r="F82">
        <v>0</v>
      </c>
      <c r="P82">
        <v>32</v>
      </c>
      <c r="R82">
        <v>29</v>
      </c>
    </row>
    <row r="83" spans="6:18" x14ac:dyDescent="0.3">
      <c r="F83">
        <v>0</v>
      </c>
      <c r="R83">
        <v>30</v>
      </c>
    </row>
    <row r="84" spans="6:18" x14ac:dyDescent="0.3">
      <c r="F84">
        <v>0</v>
      </c>
      <c r="R84">
        <v>31</v>
      </c>
    </row>
    <row r="85" spans="6:18" x14ac:dyDescent="0.3">
      <c r="F85">
        <v>0</v>
      </c>
      <c r="R85">
        <v>32</v>
      </c>
    </row>
    <row r="86" spans="6:18" x14ac:dyDescent="0.3">
      <c r="F86">
        <v>0</v>
      </c>
    </row>
    <row r="87" spans="6:18" x14ac:dyDescent="0.3">
      <c r="F87">
        <v>0</v>
      </c>
    </row>
    <row r="88" spans="6:18" x14ac:dyDescent="0.3">
      <c r="F88">
        <v>0</v>
      </c>
    </row>
    <row r="89" spans="6:18" x14ac:dyDescent="0.3">
      <c r="F89">
        <v>0</v>
      </c>
    </row>
    <row r="90" spans="6:18" x14ac:dyDescent="0.3">
      <c r="F90">
        <v>0</v>
      </c>
    </row>
    <row r="91" spans="6:18" x14ac:dyDescent="0.3">
      <c r="F91">
        <v>0</v>
      </c>
    </row>
    <row r="92" spans="6:18" x14ac:dyDescent="0.3">
      <c r="F92">
        <v>0</v>
      </c>
    </row>
    <row r="93" spans="6:18" x14ac:dyDescent="0.3">
      <c r="F93">
        <v>0</v>
      </c>
    </row>
    <row r="94" spans="6:18" x14ac:dyDescent="0.3">
      <c r="F94">
        <v>0</v>
      </c>
    </row>
    <row r="95" spans="6:18" x14ac:dyDescent="0.3">
      <c r="F95">
        <v>0</v>
      </c>
    </row>
    <row r="96" spans="6:18" x14ac:dyDescent="0.3">
      <c r="F96">
        <v>0</v>
      </c>
    </row>
    <row r="97" spans="6:6" x14ac:dyDescent="0.3">
      <c r="F97">
        <v>0</v>
      </c>
    </row>
    <row r="98" spans="6:6" x14ac:dyDescent="0.3">
      <c r="F98">
        <v>0</v>
      </c>
    </row>
    <row r="99" spans="6:6" x14ac:dyDescent="0.3">
      <c r="F99">
        <v>0</v>
      </c>
    </row>
    <row r="100" spans="6:6" x14ac:dyDescent="0.3">
      <c r="F100">
        <v>0</v>
      </c>
    </row>
  </sheetData>
  <autoFilter ref="N2:N98" xr:uid="{33BB48F1-9CEF-4B20-A52D-F56E320234D6}"/>
  <sortState xmlns:xlrd2="http://schemas.microsoft.com/office/spreadsheetml/2017/richdata2" ref="A4:F100">
    <sortCondition descending="1" ref="B4:B100"/>
    <sortCondition descending="1" ref="D4:D100"/>
    <sortCondition ref="E4:E100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7732E-0A47-4634-A81C-C974E1DDACBF}">
  <sheetPr codeName="Sheet3"/>
  <dimension ref="A1:P107"/>
  <sheetViews>
    <sheetView tabSelected="1" workbookViewId="0">
      <selection activeCell="D3" sqref="D3:D102"/>
    </sheetView>
  </sheetViews>
  <sheetFormatPr defaultRowHeight="14.4" x14ac:dyDescent="0.3"/>
  <cols>
    <col min="5" max="5" width="17.6640625" customWidth="1"/>
    <col min="6" max="6" width="24.6640625" bestFit="1" customWidth="1"/>
    <col min="12" max="12" width="24.6640625" bestFit="1" customWidth="1"/>
    <col min="13" max="13" width="25.21875" bestFit="1" customWidth="1"/>
    <col min="14" max="14" width="15.77734375" bestFit="1" customWidth="1"/>
    <col min="15" max="15" width="15" bestFit="1" customWidth="1"/>
    <col min="16" max="16" width="11.88671875" bestFit="1" customWidth="1"/>
  </cols>
  <sheetData>
    <row r="1" spans="1:16" x14ac:dyDescent="0.3">
      <c r="A1" s="6"/>
      <c r="B1" s="6"/>
      <c r="M1" s="6" t="s">
        <v>25</v>
      </c>
    </row>
    <row r="2" spans="1:16" x14ac:dyDescent="0.3">
      <c r="A2" s="6" t="s">
        <v>13</v>
      </c>
      <c r="B2" s="6" t="s">
        <v>14</v>
      </c>
      <c r="C2" s="6" t="s">
        <v>15</v>
      </c>
      <c r="D2" s="6" t="s">
        <v>16</v>
      </c>
      <c r="E2" s="6" t="s">
        <v>23</v>
      </c>
      <c r="F2" s="6" t="s">
        <v>24</v>
      </c>
      <c r="K2" t="s">
        <v>124</v>
      </c>
      <c r="L2" t="s">
        <v>26</v>
      </c>
      <c r="M2" s="7" t="s">
        <v>26</v>
      </c>
      <c r="N2" s="8" t="s">
        <v>27</v>
      </c>
      <c r="O2" s="7" t="s">
        <v>28</v>
      </c>
      <c r="P2" s="8" t="s">
        <v>29</v>
      </c>
    </row>
    <row r="3" spans="1:16" x14ac:dyDescent="0.3">
      <c r="A3">
        <f>Sheet2!J3</f>
        <v>1</v>
      </c>
      <c r="B3">
        <f>Sheet2!K3</f>
        <v>43</v>
      </c>
      <c r="C3">
        <f>Sheet2!L3</f>
        <v>8</v>
      </c>
      <c r="D3">
        <v>0</v>
      </c>
      <c r="E3" t="str">
        <f>VLOOKUP(B3,K$3:L$52,2,FALSE)</f>
        <v>Jovian Anderson Chyne</v>
      </c>
      <c r="F3" t="str">
        <f>VLOOKUP(C3,K$3:L$52,2,FALSE)</f>
        <v>Swastik Pandey</v>
      </c>
      <c r="K3">
        <v>1</v>
      </c>
      <c r="L3" t="s">
        <v>125</v>
      </c>
      <c r="M3" s="9" t="s">
        <v>94</v>
      </c>
      <c r="N3" s="10">
        <v>9557648750</v>
      </c>
      <c r="O3" s="9" t="s">
        <v>95</v>
      </c>
      <c r="P3" s="10">
        <v>25112001</v>
      </c>
    </row>
    <row r="4" spans="1:16" x14ac:dyDescent="0.3">
      <c r="A4">
        <f>Sheet2!J4</f>
        <v>1</v>
      </c>
      <c r="B4">
        <f>Sheet2!K4</f>
        <v>37</v>
      </c>
      <c r="C4">
        <f>Sheet2!L4</f>
        <v>50</v>
      </c>
      <c r="D4">
        <v>0</v>
      </c>
      <c r="E4" t="str">
        <f t="shared" ref="E4:E38" si="0">VLOOKUP(B4,K$3:L$52,2,FALSE)</f>
        <v xml:space="preserve">Prince </v>
      </c>
      <c r="F4" t="str">
        <f t="shared" ref="F4:F38" si="1">VLOOKUP(C4,K$3:L$52,2,FALSE)</f>
        <v>Harshith Shresth</v>
      </c>
      <c r="K4">
        <v>2</v>
      </c>
      <c r="L4" t="s">
        <v>126</v>
      </c>
      <c r="M4" s="9" t="s">
        <v>32</v>
      </c>
      <c r="N4" s="10">
        <v>9448780711</v>
      </c>
      <c r="O4" s="9" t="s">
        <v>33</v>
      </c>
      <c r="P4" s="9"/>
    </row>
    <row r="5" spans="1:16" x14ac:dyDescent="0.3">
      <c r="A5">
        <f>Sheet2!J5</f>
        <v>1</v>
      </c>
      <c r="B5">
        <f>Sheet2!K5</f>
        <v>16</v>
      </c>
      <c r="C5">
        <f>Sheet2!L5</f>
        <v>10</v>
      </c>
      <c r="D5">
        <v>0</v>
      </c>
      <c r="E5" t="str">
        <f t="shared" si="0"/>
        <v xml:space="preserve">Hans M Abraham </v>
      </c>
      <c r="F5" t="str">
        <f t="shared" si="1"/>
        <v>Aviroop Sinha</v>
      </c>
      <c r="K5">
        <v>3</v>
      </c>
      <c r="L5" t="s">
        <v>127</v>
      </c>
      <c r="M5" s="9" t="s">
        <v>36</v>
      </c>
      <c r="N5" s="10">
        <v>9724297440</v>
      </c>
      <c r="O5" s="9" t="s">
        <v>37</v>
      </c>
      <c r="P5" s="9"/>
    </row>
    <row r="6" spans="1:16" x14ac:dyDescent="0.3">
      <c r="A6">
        <f>Sheet2!J6</f>
        <v>1</v>
      </c>
      <c r="B6">
        <f>Sheet2!K6</f>
        <v>9</v>
      </c>
      <c r="C6">
        <f>Sheet2!L6</f>
        <v>44</v>
      </c>
      <c r="D6">
        <v>0</v>
      </c>
      <c r="E6" t="str">
        <f t="shared" si="0"/>
        <v>Alen Join Shibu</v>
      </c>
      <c r="F6" t="str">
        <f t="shared" si="1"/>
        <v>Arshad Pr</v>
      </c>
      <c r="K6">
        <v>4</v>
      </c>
      <c r="L6" t="s">
        <v>128</v>
      </c>
      <c r="M6" s="9" t="s">
        <v>83</v>
      </c>
      <c r="N6" s="10">
        <v>8200226290</v>
      </c>
      <c r="O6" s="9" t="s">
        <v>84</v>
      </c>
      <c r="P6" s="9"/>
    </row>
    <row r="7" spans="1:16" x14ac:dyDescent="0.3">
      <c r="A7">
        <f>Sheet2!J7</f>
        <v>1</v>
      </c>
      <c r="B7">
        <f>Sheet2!K7</f>
        <v>6</v>
      </c>
      <c r="C7">
        <f>Sheet2!L7</f>
        <v>22</v>
      </c>
      <c r="D7">
        <v>0</v>
      </c>
      <c r="E7" t="str">
        <f t="shared" si="0"/>
        <v>Kaif Khan</v>
      </c>
      <c r="F7" t="str">
        <f t="shared" si="1"/>
        <v>Aryan Mhaskar</v>
      </c>
      <c r="K7">
        <v>5</v>
      </c>
      <c r="L7" t="s">
        <v>129</v>
      </c>
      <c r="M7" s="9" t="s">
        <v>106</v>
      </c>
      <c r="N7" s="10">
        <v>9585851325</v>
      </c>
      <c r="O7" s="9" t="s">
        <v>107</v>
      </c>
      <c r="P7" s="10">
        <v>23113158</v>
      </c>
    </row>
    <row r="8" spans="1:16" x14ac:dyDescent="0.3">
      <c r="A8">
        <f>Sheet2!J8</f>
        <v>1</v>
      </c>
      <c r="B8">
        <f>Sheet2!K8</f>
        <v>7</v>
      </c>
      <c r="C8">
        <f>Sheet2!L8</f>
        <v>4</v>
      </c>
      <c r="D8">
        <v>0</v>
      </c>
      <c r="E8" t="str">
        <f t="shared" si="0"/>
        <v>Himanshu Raj</v>
      </c>
      <c r="F8" t="str">
        <f t="shared" si="1"/>
        <v>Thakkar Harmik</v>
      </c>
      <c r="K8">
        <v>6</v>
      </c>
      <c r="L8" t="s">
        <v>130</v>
      </c>
      <c r="M8" s="9" t="s">
        <v>50</v>
      </c>
      <c r="N8" s="10">
        <v>8542066736</v>
      </c>
      <c r="O8" s="9" t="s">
        <v>51</v>
      </c>
      <c r="P8" s="9"/>
    </row>
    <row r="9" spans="1:16" x14ac:dyDescent="0.3">
      <c r="A9">
        <f>Sheet2!J9</f>
        <v>1</v>
      </c>
      <c r="B9">
        <f>Sheet2!K9</f>
        <v>36</v>
      </c>
      <c r="C9">
        <f>Sheet2!L9</f>
        <v>48</v>
      </c>
      <c r="D9">
        <v>0</v>
      </c>
      <c r="E9" t="str">
        <f t="shared" si="0"/>
        <v xml:space="preserve">Siddharth </v>
      </c>
      <c r="F9" t="str">
        <f t="shared" si="1"/>
        <v>Vashitav Bali</v>
      </c>
      <c r="K9">
        <v>7</v>
      </c>
      <c r="L9" t="s">
        <v>131</v>
      </c>
      <c r="M9" s="9" t="s">
        <v>119</v>
      </c>
      <c r="N9" s="10">
        <v>9509444178</v>
      </c>
      <c r="O9" s="9" t="s">
        <v>82</v>
      </c>
      <c r="P9" s="10">
        <v>25111216</v>
      </c>
    </row>
    <row r="10" spans="1:16" x14ac:dyDescent="0.3">
      <c r="A10">
        <f>Sheet2!J10</f>
        <v>1</v>
      </c>
      <c r="B10">
        <f>Sheet2!K10</f>
        <v>19</v>
      </c>
      <c r="C10">
        <f>Sheet2!L10</f>
        <v>20</v>
      </c>
      <c r="D10">
        <v>0</v>
      </c>
      <c r="E10" t="str">
        <f t="shared" si="0"/>
        <v>Akshat Chauhan</v>
      </c>
      <c r="F10" t="str">
        <f t="shared" si="1"/>
        <v>Varghese Anto</v>
      </c>
      <c r="K10">
        <v>8</v>
      </c>
      <c r="L10" t="s">
        <v>78</v>
      </c>
      <c r="M10" s="9" t="s">
        <v>78</v>
      </c>
      <c r="N10" s="10">
        <v>9369555028</v>
      </c>
      <c r="O10" s="9" t="s">
        <v>77</v>
      </c>
      <c r="P10" s="9"/>
    </row>
    <row r="11" spans="1:16" x14ac:dyDescent="0.3">
      <c r="A11">
        <f>Sheet2!J11</f>
        <v>1</v>
      </c>
      <c r="B11">
        <f>Sheet2!K11</f>
        <v>42</v>
      </c>
      <c r="C11">
        <f>Sheet2!L11</f>
        <v>17</v>
      </c>
      <c r="D11">
        <v>0</v>
      </c>
      <c r="E11" t="str">
        <f t="shared" si="0"/>
        <v>Rushiraj Patel</v>
      </c>
      <c r="F11" t="str">
        <f t="shared" si="1"/>
        <v>Akshay K S</v>
      </c>
      <c r="K11">
        <v>9</v>
      </c>
      <c r="L11" t="s">
        <v>30</v>
      </c>
      <c r="M11" s="9" t="s">
        <v>30</v>
      </c>
      <c r="N11" s="10">
        <v>8590542504</v>
      </c>
      <c r="O11" s="9" t="s">
        <v>31</v>
      </c>
      <c r="P11" s="9"/>
    </row>
    <row r="12" spans="1:16" x14ac:dyDescent="0.3">
      <c r="A12">
        <f>Sheet2!J12</f>
        <v>1</v>
      </c>
      <c r="B12">
        <f>Sheet2!K12</f>
        <v>3</v>
      </c>
      <c r="C12">
        <f>Sheet2!L12</f>
        <v>18</v>
      </c>
      <c r="D12">
        <v>0</v>
      </c>
      <c r="E12" t="str">
        <f t="shared" si="0"/>
        <v xml:space="preserve">Saurya Thakkar </v>
      </c>
      <c r="F12" t="str">
        <f t="shared" si="1"/>
        <v>Rishit Mishra</v>
      </c>
      <c r="K12">
        <v>10</v>
      </c>
      <c r="L12" t="s">
        <v>72</v>
      </c>
      <c r="M12" s="9" t="s">
        <v>72</v>
      </c>
      <c r="N12" s="10">
        <v>9330829658</v>
      </c>
      <c r="O12" s="9" t="s">
        <v>73</v>
      </c>
      <c r="P12" s="9"/>
    </row>
    <row r="13" spans="1:16" x14ac:dyDescent="0.3">
      <c r="A13">
        <f>Sheet2!J13</f>
        <v>1</v>
      </c>
      <c r="B13">
        <f>Sheet2!K13</f>
        <v>25</v>
      </c>
      <c r="C13">
        <f>Sheet2!L13</f>
        <v>28</v>
      </c>
      <c r="D13">
        <v>0</v>
      </c>
      <c r="E13" t="str">
        <f t="shared" si="0"/>
        <v>Tuba Ahmed</v>
      </c>
      <c r="F13" t="str">
        <f t="shared" si="1"/>
        <v>Jai Sinnh Bhargava</v>
      </c>
      <c r="K13">
        <v>11</v>
      </c>
      <c r="L13" t="s">
        <v>48</v>
      </c>
      <c r="M13" s="9" t="s">
        <v>48</v>
      </c>
      <c r="N13" s="10">
        <v>8369694689</v>
      </c>
      <c r="O13" s="9" t="s">
        <v>49</v>
      </c>
      <c r="P13" s="9"/>
    </row>
    <row r="14" spans="1:16" x14ac:dyDescent="0.3">
      <c r="A14">
        <f>Sheet2!J14</f>
        <v>1</v>
      </c>
      <c r="B14">
        <f>Sheet2!K14</f>
        <v>47</v>
      </c>
      <c r="C14">
        <f>Sheet2!L14</f>
        <v>33</v>
      </c>
      <c r="D14">
        <v>0</v>
      </c>
      <c r="E14" t="str">
        <f t="shared" si="0"/>
        <v>Yogyata Singh</v>
      </c>
      <c r="F14" t="str">
        <f t="shared" si="1"/>
        <v>Devkrishna</v>
      </c>
      <c r="K14">
        <v>12</v>
      </c>
      <c r="L14" t="s">
        <v>54</v>
      </c>
      <c r="M14" s="9" t="s">
        <v>54</v>
      </c>
      <c r="N14" s="10">
        <v>8072293969</v>
      </c>
      <c r="O14" s="9" t="s">
        <v>55</v>
      </c>
      <c r="P14" s="9"/>
    </row>
    <row r="15" spans="1:16" x14ac:dyDescent="0.3">
      <c r="A15">
        <f>Sheet2!J15</f>
        <v>1</v>
      </c>
      <c r="B15">
        <f>Sheet2!K15</f>
        <v>11</v>
      </c>
      <c r="C15">
        <f>Sheet2!L15</f>
        <v>45</v>
      </c>
      <c r="D15">
        <v>0</v>
      </c>
      <c r="E15" t="str">
        <f t="shared" si="0"/>
        <v>Anjali Shitole</v>
      </c>
      <c r="F15" t="str">
        <f t="shared" si="1"/>
        <v xml:space="preserve">Buddha Hari Haran
</v>
      </c>
      <c r="K15">
        <v>13</v>
      </c>
      <c r="L15" t="s">
        <v>98</v>
      </c>
      <c r="M15" s="9" t="s">
        <v>98</v>
      </c>
      <c r="N15" s="10">
        <v>6375855016</v>
      </c>
      <c r="O15" s="9" t="s">
        <v>99</v>
      </c>
      <c r="P15" s="10">
        <v>24111105</v>
      </c>
    </row>
    <row r="16" spans="1:16" x14ac:dyDescent="0.3">
      <c r="A16">
        <f>Sheet2!J16</f>
        <v>1</v>
      </c>
      <c r="B16">
        <f>Sheet2!K16</f>
        <v>30</v>
      </c>
      <c r="C16">
        <f>Sheet2!L16</f>
        <v>40</v>
      </c>
      <c r="D16">
        <v>0</v>
      </c>
      <c r="E16" t="str">
        <f t="shared" si="0"/>
        <v>Sparsh Ahuja</v>
      </c>
      <c r="F16" t="str">
        <f t="shared" si="1"/>
        <v>Devagya Singla</v>
      </c>
      <c r="K16">
        <v>14</v>
      </c>
      <c r="L16" t="s">
        <v>132</v>
      </c>
      <c r="M16" s="9" t="s">
        <v>52</v>
      </c>
      <c r="N16" s="10">
        <v>7358787286</v>
      </c>
      <c r="O16" s="9" t="s">
        <v>53</v>
      </c>
      <c r="P16" s="9"/>
    </row>
    <row r="17" spans="1:16" x14ac:dyDescent="0.3">
      <c r="A17">
        <f>Sheet2!J17</f>
        <v>1</v>
      </c>
      <c r="B17">
        <f>Sheet2!K17</f>
        <v>21</v>
      </c>
      <c r="C17">
        <f>Sheet2!L17</f>
        <v>31</v>
      </c>
      <c r="D17">
        <v>0</v>
      </c>
      <c r="E17" t="str">
        <f t="shared" si="0"/>
        <v>Jatin</v>
      </c>
      <c r="F17" t="str">
        <f t="shared" si="1"/>
        <v xml:space="preserve">Sherick Matthew </v>
      </c>
      <c r="K17">
        <v>15</v>
      </c>
      <c r="L17" t="s">
        <v>38</v>
      </c>
      <c r="M17" s="9" t="s">
        <v>38</v>
      </c>
      <c r="N17" s="10">
        <v>7426885333</v>
      </c>
      <c r="O17" s="9" t="s">
        <v>39</v>
      </c>
      <c r="P17" s="9"/>
    </row>
    <row r="18" spans="1:16" x14ac:dyDescent="0.3">
      <c r="A18">
        <f>Sheet2!J18</f>
        <v>1</v>
      </c>
      <c r="B18">
        <f>Sheet2!K18</f>
        <v>2</v>
      </c>
      <c r="C18">
        <f>Sheet2!L18</f>
        <v>24</v>
      </c>
      <c r="D18">
        <v>0</v>
      </c>
      <c r="E18" t="str">
        <f t="shared" si="0"/>
        <v>Ananth Krishna Nb</v>
      </c>
      <c r="F18" t="str">
        <f t="shared" si="1"/>
        <v>Kunal</v>
      </c>
      <c r="K18">
        <v>16</v>
      </c>
      <c r="L18" t="s">
        <v>60</v>
      </c>
      <c r="M18" s="9" t="s">
        <v>60</v>
      </c>
      <c r="N18" s="10">
        <v>7902354121</v>
      </c>
      <c r="O18" s="9" t="s">
        <v>61</v>
      </c>
      <c r="P18" s="10">
        <v>25121017</v>
      </c>
    </row>
    <row r="19" spans="1:16" x14ac:dyDescent="0.3">
      <c r="A19">
        <f>Sheet2!J19</f>
        <v>1</v>
      </c>
      <c r="B19">
        <f>Sheet2!K19</f>
        <v>38</v>
      </c>
      <c r="C19">
        <f>Sheet2!L19</f>
        <v>23</v>
      </c>
      <c r="D19">
        <v>0</v>
      </c>
      <c r="E19" t="str">
        <f t="shared" si="0"/>
        <v>Arunabha Dey</v>
      </c>
      <c r="F19" t="str">
        <f t="shared" si="1"/>
        <v>Utsav Sahare</v>
      </c>
      <c r="K19">
        <v>17</v>
      </c>
      <c r="L19" t="s">
        <v>133</v>
      </c>
      <c r="M19" s="9" t="s">
        <v>66</v>
      </c>
      <c r="N19" s="10">
        <v>8269780209</v>
      </c>
      <c r="O19" s="9" t="s">
        <v>67</v>
      </c>
      <c r="P19" s="9"/>
    </row>
    <row r="20" spans="1:16" x14ac:dyDescent="0.3">
      <c r="A20">
        <f>Sheet2!J20</f>
        <v>1</v>
      </c>
      <c r="B20">
        <f>Sheet2!K20</f>
        <v>32</v>
      </c>
      <c r="C20">
        <f>Sheet2!L20</f>
        <v>41</v>
      </c>
      <c r="D20">
        <v>0</v>
      </c>
      <c r="E20" t="str">
        <f t="shared" si="0"/>
        <v xml:space="preserve">Karasala Abishai
</v>
      </c>
      <c r="F20" t="str">
        <f t="shared" si="1"/>
        <v>Abhinay Sahu</v>
      </c>
      <c r="K20">
        <v>18</v>
      </c>
      <c r="L20" t="s">
        <v>68</v>
      </c>
      <c r="M20" s="9" t="s">
        <v>68</v>
      </c>
      <c r="N20" s="10">
        <v>6307878572</v>
      </c>
      <c r="O20" s="9" t="s">
        <v>69</v>
      </c>
      <c r="P20" s="9"/>
    </row>
    <row r="21" spans="1:16" x14ac:dyDescent="0.3">
      <c r="A21">
        <f>Sheet2!J21</f>
        <v>1</v>
      </c>
      <c r="B21">
        <f>Sheet2!K21</f>
        <v>46</v>
      </c>
      <c r="C21">
        <f>Sheet2!L21</f>
        <v>12</v>
      </c>
      <c r="D21">
        <v>0</v>
      </c>
      <c r="E21" t="str">
        <f t="shared" si="0"/>
        <v>Vishal Yadav</v>
      </c>
      <c r="F21" t="str">
        <f t="shared" si="1"/>
        <v>Lingeswer.S</v>
      </c>
      <c r="K21">
        <v>19</v>
      </c>
      <c r="L21" t="s">
        <v>134</v>
      </c>
      <c r="M21" s="9" t="s">
        <v>92</v>
      </c>
      <c r="N21" s="10">
        <v>8004100091</v>
      </c>
      <c r="O21" s="9" t="s">
        <v>93</v>
      </c>
      <c r="P21" s="10">
        <v>25113007</v>
      </c>
    </row>
    <row r="22" spans="1:16" x14ac:dyDescent="0.3">
      <c r="A22">
        <f>Sheet2!J22</f>
        <v>1</v>
      </c>
      <c r="B22">
        <f>Sheet2!K22</f>
        <v>39</v>
      </c>
      <c r="C22">
        <f>Sheet2!L22</f>
        <v>26</v>
      </c>
      <c r="D22">
        <v>0</v>
      </c>
      <c r="E22" t="str">
        <f t="shared" si="0"/>
        <v>Anwesh Chatterjee</v>
      </c>
      <c r="F22" t="str">
        <f t="shared" si="1"/>
        <v>Adrika Gosh</v>
      </c>
      <c r="K22">
        <v>20</v>
      </c>
      <c r="L22" t="s">
        <v>135</v>
      </c>
      <c r="M22" s="9" t="s">
        <v>110</v>
      </c>
      <c r="N22" s="10">
        <v>8907086495</v>
      </c>
      <c r="O22" s="9" t="s">
        <v>111</v>
      </c>
      <c r="P22" s="10">
        <v>21113185</v>
      </c>
    </row>
    <row r="23" spans="1:16" x14ac:dyDescent="0.3">
      <c r="A23">
        <f>Sheet2!J23</f>
        <v>1</v>
      </c>
      <c r="B23">
        <f>Sheet2!K23</f>
        <v>1</v>
      </c>
      <c r="C23">
        <f>Sheet2!L23</f>
        <v>29</v>
      </c>
      <c r="D23">
        <v>0</v>
      </c>
      <c r="E23" t="str">
        <f t="shared" si="0"/>
        <v>Aditya Dhyani</v>
      </c>
      <c r="F23" t="str">
        <f t="shared" si="1"/>
        <v>Priyanshu Mehra</v>
      </c>
      <c r="K23">
        <v>21</v>
      </c>
      <c r="L23" t="s">
        <v>122</v>
      </c>
      <c r="M23" s="9" t="s">
        <v>122</v>
      </c>
      <c r="N23" s="10">
        <v>8005542110</v>
      </c>
      <c r="O23" s="9" t="s">
        <v>123</v>
      </c>
      <c r="P23" s="10">
        <v>23111432</v>
      </c>
    </row>
    <row r="24" spans="1:16" x14ac:dyDescent="0.3">
      <c r="A24">
        <f>Sheet2!J24</f>
        <v>1</v>
      </c>
      <c r="B24">
        <f>Sheet2!K24</f>
        <v>49</v>
      </c>
      <c r="C24">
        <f>Sheet2!L24</f>
        <v>14</v>
      </c>
      <c r="D24">
        <v>0</v>
      </c>
      <c r="E24" t="str">
        <f t="shared" si="0"/>
        <v xml:space="preserve">Devesh Tiwari </v>
      </c>
      <c r="F24" t="str">
        <f t="shared" si="1"/>
        <v>Dhepeshnarayana.S</v>
      </c>
      <c r="K24">
        <v>22</v>
      </c>
      <c r="L24" t="s">
        <v>100</v>
      </c>
      <c r="M24" s="9" t="s">
        <v>100</v>
      </c>
      <c r="N24" s="10">
        <v>9335496172</v>
      </c>
      <c r="O24" s="9" t="s">
        <v>101</v>
      </c>
      <c r="P24" s="10">
        <v>22113013</v>
      </c>
    </row>
    <row r="25" spans="1:16" x14ac:dyDescent="0.3">
      <c r="A25">
        <f>Sheet2!J25</f>
        <v>1</v>
      </c>
      <c r="B25">
        <f>Sheet2!K25</f>
        <v>15</v>
      </c>
      <c r="C25">
        <f>Sheet2!L25</f>
        <v>35</v>
      </c>
      <c r="D25">
        <v>0</v>
      </c>
      <c r="E25" t="str">
        <f t="shared" si="0"/>
        <v xml:space="preserve">Harshvardhan Singh Rathore </v>
      </c>
      <c r="F25" t="str">
        <f t="shared" si="1"/>
        <v>Divyansh</v>
      </c>
      <c r="K25">
        <v>23</v>
      </c>
      <c r="L25" t="s">
        <v>81</v>
      </c>
      <c r="M25" s="9" t="s">
        <v>81</v>
      </c>
      <c r="N25" s="10">
        <v>7558261659</v>
      </c>
      <c r="O25" s="9" t="s">
        <v>82</v>
      </c>
      <c r="P25" s="9"/>
    </row>
    <row r="26" spans="1:16" x14ac:dyDescent="0.3">
      <c r="A26">
        <f>Sheet2!J26</f>
        <v>1</v>
      </c>
      <c r="B26">
        <f>Sheet2!K26</f>
        <v>5</v>
      </c>
      <c r="C26">
        <f>Sheet2!L26</f>
        <v>13</v>
      </c>
      <c r="D26">
        <v>0</v>
      </c>
      <c r="E26" t="str">
        <f t="shared" si="0"/>
        <v>Santhoshkrishna Gm</v>
      </c>
      <c r="F26" t="str">
        <f t="shared" si="1"/>
        <v>Ansh Kalra</v>
      </c>
      <c r="K26">
        <v>24</v>
      </c>
      <c r="L26" t="s">
        <v>44</v>
      </c>
      <c r="M26" s="9" t="s">
        <v>44</v>
      </c>
      <c r="N26" s="10">
        <v>9560275329</v>
      </c>
      <c r="O26" s="9" t="s">
        <v>45</v>
      </c>
      <c r="P26" s="9"/>
    </row>
    <row r="27" spans="1:16" x14ac:dyDescent="0.3">
      <c r="A27">
        <f>Sheet2!J27</f>
        <v>1</v>
      </c>
      <c r="B27">
        <f>Sheet2!K27</f>
        <v>34</v>
      </c>
      <c r="C27">
        <f>Sheet2!L27</f>
        <v>27</v>
      </c>
      <c r="D27">
        <v>0</v>
      </c>
      <c r="E27" t="str">
        <f t="shared" si="0"/>
        <v>Sahil Kadu</v>
      </c>
      <c r="F27" t="str">
        <f t="shared" si="1"/>
        <v>Aditi Sai</v>
      </c>
      <c r="K27">
        <v>25</v>
      </c>
      <c r="L27" t="s">
        <v>64</v>
      </c>
      <c r="M27" s="9" t="s">
        <v>64</v>
      </c>
      <c r="N27" s="10">
        <v>9625974785</v>
      </c>
      <c r="O27" s="9" t="s">
        <v>65</v>
      </c>
      <c r="P27" s="9"/>
    </row>
    <row r="28" spans="1:16" x14ac:dyDescent="0.3">
      <c r="A28">
        <f>Sheet2!J28</f>
        <v>0</v>
      </c>
      <c r="B28">
        <f>Sheet2!K28</f>
        <v>0</v>
      </c>
      <c r="C28">
        <f>Sheet2!L28</f>
        <v>0</v>
      </c>
      <c r="D28">
        <v>0</v>
      </c>
      <c r="E28" t="e">
        <f t="shared" si="0"/>
        <v>#N/A</v>
      </c>
      <c r="F28" t="e">
        <f t="shared" si="1"/>
        <v>#N/A</v>
      </c>
      <c r="K28">
        <v>26</v>
      </c>
      <c r="L28" t="s">
        <v>136</v>
      </c>
      <c r="M28" s="9" t="s">
        <v>85</v>
      </c>
      <c r="N28" s="10">
        <v>7003446716</v>
      </c>
      <c r="O28" s="9" t="s">
        <v>84</v>
      </c>
      <c r="P28" s="9"/>
    </row>
    <row r="29" spans="1:16" x14ac:dyDescent="0.3">
      <c r="A29">
        <f>Sheet2!J29</f>
        <v>0</v>
      </c>
      <c r="B29">
        <f>Sheet2!K29</f>
        <v>0</v>
      </c>
      <c r="C29">
        <f>Sheet2!L29</f>
        <v>0</v>
      </c>
      <c r="D29">
        <v>0</v>
      </c>
      <c r="E29" t="e">
        <f t="shared" si="0"/>
        <v>#N/A</v>
      </c>
      <c r="F29" t="e">
        <f t="shared" si="1"/>
        <v>#N/A</v>
      </c>
      <c r="K29">
        <v>27</v>
      </c>
      <c r="L29" t="s">
        <v>88</v>
      </c>
      <c r="M29" s="9" t="s">
        <v>88</v>
      </c>
      <c r="N29" s="10">
        <v>8109228681</v>
      </c>
      <c r="O29" s="9" t="s">
        <v>89</v>
      </c>
      <c r="P29" s="9"/>
    </row>
    <row r="30" spans="1:16" x14ac:dyDescent="0.3">
      <c r="A30">
        <f>Sheet2!J30</f>
        <v>0</v>
      </c>
      <c r="B30">
        <f>Sheet2!K30</f>
        <v>0</v>
      </c>
      <c r="C30">
        <f>Sheet2!L30</f>
        <v>0</v>
      </c>
      <c r="D30">
        <v>0</v>
      </c>
      <c r="E30" t="e">
        <f t="shared" si="0"/>
        <v>#N/A</v>
      </c>
      <c r="F30" t="e">
        <f t="shared" si="1"/>
        <v>#N/A</v>
      </c>
      <c r="K30">
        <v>28</v>
      </c>
      <c r="L30" t="s">
        <v>34</v>
      </c>
      <c r="M30" s="9" t="s">
        <v>34</v>
      </c>
      <c r="N30" s="10">
        <v>9971449460</v>
      </c>
      <c r="O30" s="9" t="s">
        <v>35</v>
      </c>
      <c r="P30" s="9"/>
    </row>
    <row r="31" spans="1:16" x14ac:dyDescent="0.3">
      <c r="A31">
        <f>Sheet2!J31</f>
        <v>0</v>
      </c>
      <c r="B31">
        <f>Sheet2!K31</f>
        <v>0</v>
      </c>
      <c r="C31">
        <f>Sheet2!L31</f>
        <v>0</v>
      </c>
      <c r="D31">
        <v>0</v>
      </c>
      <c r="E31" t="e">
        <f t="shared" si="0"/>
        <v>#N/A</v>
      </c>
      <c r="F31" t="e">
        <f t="shared" si="1"/>
        <v>#N/A</v>
      </c>
      <c r="K31">
        <v>29</v>
      </c>
      <c r="L31" t="s">
        <v>137</v>
      </c>
      <c r="M31" s="9" t="s">
        <v>120</v>
      </c>
      <c r="N31" s="11">
        <v>9560930597</v>
      </c>
      <c r="O31" s="9" t="s">
        <v>121</v>
      </c>
      <c r="P31" s="11">
        <v>25113154</v>
      </c>
    </row>
    <row r="32" spans="1:16" x14ac:dyDescent="0.3">
      <c r="A32">
        <f>Sheet2!J32</f>
        <v>0</v>
      </c>
      <c r="B32">
        <f>Sheet2!K32</f>
        <v>0</v>
      </c>
      <c r="C32">
        <f>Sheet2!L32</f>
        <v>0</v>
      </c>
      <c r="D32">
        <v>0</v>
      </c>
      <c r="E32" t="e">
        <f t="shared" si="0"/>
        <v>#N/A</v>
      </c>
      <c r="F32" t="e">
        <f t="shared" si="1"/>
        <v>#N/A</v>
      </c>
      <c r="K32">
        <v>30</v>
      </c>
      <c r="L32" t="s">
        <v>138</v>
      </c>
      <c r="M32" s="9" t="s">
        <v>96</v>
      </c>
      <c r="N32" s="10">
        <v>9958472477</v>
      </c>
      <c r="O32" s="9" t="s">
        <v>97</v>
      </c>
      <c r="P32" s="10">
        <v>21113078</v>
      </c>
    </row>
    <row r="33" spans="1:16" x14ac:dyDescent="0.3">
      <c r="A33">
        <f>Sheet2!J33</f>
        <v>0</v>
      </c>
      <c r="B33">
        <f>Sheet2!K33</f>
        <v>0</v>
      </c>
      <c r="C33">
        <f>Sheet2!L33</f>
        <v>0</v>
      </c>
      <c r="D33">
        <v>0</v>
      </c>
      <c r="E33" t="e">
        <f t="shared" si="0"/>
        <v>#N/A</v>
      </c>
      <c r="F33" t="e">
        <f t="shared" si="1"/>
        <v>#N/A</v>
      </c>
      <c r="K33">
        <v>31</v>
      </c>
      <c r="L33" t="s">
        <v>58</v>
      </c>
      <c r="M33" s="9" t="s">
        <v>58</v>
      </c>
      <c r="N33" s="10">
        <v>8098309889</v>
      </c>
      <c r="O33" s="9" t="s">
        <v>59</v>
      </c>
      <c r="P33" s="9"/>
    </row>
    <row r="34" spans="1:16" x14ac:dyDescent="0.3">
      <c r="A34">
        <f>Sheet2!J34</f>
        <v>0</v>
      </c>
      <c r="B34">
        <f>Sheet2!K34</f>
        <v>0</v>
      </c>
      <c r="C34">
        <f>Sheet2!L34</f>
        <v>0</v>
      </c>
      <c r="D34">
        <v>0</v>
      </c>
      <c r="E34" t="e">
        <f t="shared" si="0"/>
        <v>#N/A</v>
      </c>
      <c r="F34" t="e">
        <f t="shared" si="1"/>
        <v>#N/A</v>
      </c>
      <c r="K34">
        <v>32</v>
      </c>
      <c r="L34" t="s">
        <v>112</v>
      </c>
      <c r="M34" s="9" t="s">
        <v>112</v>
      </c>
      <c r="N34" s="10">
        <v>9989959685</v>
      </c>
      <c r="O34" s="9" t="s">
        <v>113</v>
      </c>
      <c r="P34" s="10">
        <v>23111523</v>
      </c>
    </row>
    <row r="35" spans="1:16" x14ac:dyDescent="0.3">
      <c r="A35">
        <f>Sheet2!J35</f>
        <v>0</v>
      </c>
      <c r="B35">
        <f>Sheet2!K35</f>
        <v>0</v>
      </c>
      <c r="C35">
        <f>Sheet2!L35</f>
        <v>0</v>
      </c>
      <c r="D35">
        <v>0</v>
      </c>
      <c r="E35" t="e">
        <f t="shared" si="0"/>
        <v>#N/A</v>
      </c>
      <c r="F35" t="e">
        <f t="shared" si="1"/>
        <v>#N/A</v>
      </c>
      <c r="K35">
        <v>33</v>
      </c>
      <c r="L35" t="s">
        <v>62</v>
      </c>
      <c r="M35" s="9" t="s">
        <v>62</v>
      </c>
      <c r="N35" s="10">
        <v>8590286754</v>
      </c>
      <c r="O35" s="9" t="s">
        <v>63</v>
      </c>
      <c r="P35" s="9"/>
    </row>
    <row r="36" spans="1:16" x14ac:dyDescent="0.3">
      <c r="A36">
        <f>Sheet2!J36</f>
        <v>0</v>
      </c>
      <c r="B36">
        <f>Sheet2!K36</f>
        <v>0</v>
      </c>
      <c r="C36">
        <f>Sheet2!L36</f>
        <v>0</v>
      </c>
      <c r="D36">
        <v>0</v>
      </c>
      <c r="E36" t="e">
        <f t="shared" si="0"/>
        <v>#N/A</v>
      </c>
      <c r="F36" t="e">
        <f t="shared" si="1"/>
        <v>#N/A</v>
      </c>
      <c r="K36">
        <v>34</v>
      </c>
      <c r="L36" t="s">
        <v>139</v>
      </c>
      <c r="M36" s="9" t="s">
        <v>40</v>
      </c>
      <c r="N36" s="10">
        <v>7737824141</v>
      </c>
      <c r="O36" s="9" t="s">
        <v>41</v>
      </c>
      <c r="P36" s="9"/>
    </row>
    <row r="37" spans="1:16" x14ac:dyDescent="0.3">
      <c r="A37">
        <f>Sheet2!J37</f>
        <v>0</v>
      </c>
      <c r="B37">
        <f>Sheet2!K37</f>
        <v>0</v>
      </c>
      <c r="C37">
        <f>Sheet2!L37</f>
        <v>0</v>
      </c>
      <c r="D37">
        <v>0</v>
      </c>
      <c r="E37" t="e">
        <f t="shared" si="0"/>
        <v>#N/A</v>
      </c>
      <c r="F37" t="e">
        <f t="shared" si="1"/>
        <v>#N/A</v>
      </c>
      <c r="K37">
        <v>35</v>
      </c>
      <c r="L37" t="s">
        <v>76</v>
      </c>
      <c r="M37" s="9" t="s">
        <v>76</v>
      </c>
      <c r="N37" s="10">
        <v>9319828001</v>
      </c>
      <c r="O37" s="9" t="s">
        <v>77</v>
      </c>
      <c r="P37" s="9"/>
    </row>
    <row r="38" spans="1:16" x14ac:dyDescent="0.3">
      <c r="A38">
        <f>Sheet2!J38</f>
        <v>0</v>
      </c>
      <c r="B38">
        <f>Sheet2!K38</f>
        <v>0</v>
      </c>
      <c r="C38">
        <f>Sheet2!L38</f>
        <v>0</v>
      </c>
      <c r="D38">
        <v>0</v>
      </c>
      <c r="E38" t="e">
        <f t="shared" si="0"/>
        <v>#N/A</v>
      </c>
      <c r="F38" t="e">
        <f t="shared" si="1"/>
        <v>#N/A</v>
      </c>
      <c r="K38">
        <v>36</v>
      </c>
      <c r="L38" t="s">
        <v>104</v>
      </c>
      <c r="M38" s="9" t="s">
        <v>104</v>
      </c>
      <c r="N38" s="10">
        <v>9789486803</v>
      </c>
      <c r="O38" s="9" t="s">
        <v>105</v>
      </c>
      <c r="P38" s="10">
        <v>21113177</v>
      </c>
    </row>
    <row r="39" spans="1:16" x14ac:dyDescent="0.3">
      <c r="A39">
        <f>Sheet2!J39</f>
        <v>0</v>
      </c>
      <c r="B39">
        <f>Sheet2!K39</f>
        <v>0</v>
      </c>
      <c r="C39">
        <f>Sheet2!L39</f>
        <v>0</v>
      </c>
      <c r="D39">
        <v>0</v>
      </c>
      <c r="E39" t="e">
        <f t="shared" ref="E39:E64" si="2">VLOOKUP(B39,K$3:L$52,2,FALSE)</f>
        <v>#N/A</v>
      </c>
      <c r="F39" t="e">
        <f t="shared" ref="F39:F64" si="3">VLOOKUP(C39,K$3:L$52,2,FALSE)</f>
        <v>#N/A</v>
      </c>
      <c r="K39">
        <v>37</v>
      </c>
      <c r="L39" t="s">
        <v>140</v>
      </c>
      <c r="M39" s="9" t="s">
        <v>42</v>
      </c>
      <c r="N39" s="10">
        <v>7039314403</v>
      </c>
      <c r="O39" s="9" t="s">
        <v>43</v>
      </c>
      <c r="P39" s="9"/>
    </row>
    <row r="40" spans="1:16" x14ac:dyDescent="0.3">
      <c r="A40">
        <f>Sheet2!J40</f>
        <v>0</v>
      </c>
      <c r="B40">
        <f>Sheet2!K40</f>
        <v>0</v>
      </c>
      <c r="C40">
        <f>Sheet2!L40</f>
        <v>0</v>
      </c>
      <c r="D40">
        <v>0</v>
      </c>
      <c r="E40" t="e">
        <f t="shared" si="2"/>
        <v>#N/A</v>
      </c>
      <c r="F40" t="e">
        <f t="shared" si="3"/>
        <v>#N/A</v>
      </c>
      <c r="K40">
        <v>38</v>
      </c>
      <c r="L40" t="s">
        <v>74</v>
      </c>
      <c r="M40" s="9" t="s">
        <v>74</v>
      </c>
      <c r="N40" s="10">
        <v>8336089666</v>
      </c>
      <c r="O40" s="9"/>
      <c r="P40" s="9"/>
    </row>
    <row r="41" spans="1:16" x14ac:dyDescent="0.3">
      <c r="A41">
        <f>Sheet2!J41</f>
        <v>0</v>
      </c>
      <c r="B41">
        <f>Sheet2!K41</f>
        <v>0</v>
      </c>
      <c r="C41">
        <f>Sheet2!L41</f>
        <v>0</v>
      </c>
      <c r="D41">
        <v>0</v>
      </c>
      <c r="E41" t="e">
        <f t="shared" si="2"/>
        <v>#N/A</v>
      </c>
      <c r="F41" t="e">
        <f t="shared" si="3"/>
        <v>#N/A</v>
      </c>
      <c r="K41">
        <v>39</v>
      </c>
      <c r="L41" t="s">
        <v>79</v>
      </c>
      <c r="M41" s="9" t="s">
        <v>79</v>
      </c>
      <c r="N41" s="10">
        <v>6289121218</v>
      </c>
      <c r="O41" s="9" t="s">
        <v>80</v>
      </c>
      <c r="P41" s="9"/>
    </row>
    <row r="42" spans="1:16" x14ac:dyDescent="0.3">
      <c r="A42">
        <f>Sheet2!J42</f>
        <v>0</v>
      </c>
      <c r="B42">
        <f>Sheet2!K42</f>
        <v>0</v>
      </c>
      <c r="C42">
        <f>Sheet2!L42</f>
        <v>0</v>
      </c>
      <c r="D42">
        <v>0</v>
      </c>
      <c r="E42" t="e">
        <f t="shared" si="2"/>
        <v>#N/A</v>
      </c>
      <c r="F42" t="e">
        <f t="shared" si="3"/>
        <v>#N/A</v>
      </c>
      <c r="K42">
        <v>40</v>
      </c>
      <c r="L42" t="s">
        <v>56</v>
      </c>
      <c r="M42" s="9" t="s">
        <v>56</v>
      </c>
      <c r="N42" s="10">
        <v>6283999788</v>
      </c>
      <c r="O42" s="9" t="s">
        <v>57</v>
      </c>
      <c r="P42" s="9"/>
    </row>
    <row r="43" spans="1:16" x14ac:dyDescent="0.3">
      <c r="A43">
        <f>Sheet2!J43</f>
        <v>0</v>
      </c>
      <c r="B43">
        <f>Sheet2!K43</f>
        <v>0</v>
      </c>
      <c r="C43">
        <f>Sheet2!L43</f>
        <v>0</v>
      </c>
      <c r="D43">
        <v>0</v>
      </c>
      <c r="E43" t="e">
        <f t="shared" si="2"/>
        <v>#N/A</v>
      </c>
      <c r="F43" t="e">
        <f t="shared" si="3"/>
        <v>#N/A</v>
      </c>
      <c r="K43">
        <v>41</v>
      </c>
      <c r="L43" t="s">
        <v>75</v>
      </c>
      <c r="M43" s="9" t="s">
        <v>75</v>
      </c>
      <c r="N43" s="10">
        <v>7722867533</v>
      </c>
      <c r="O43" s="9"/>
      <c r="P43" s="9"/>
    </row>
    <row r="44" spans="1:16" x14ac:dyDescent="0.3">
      <c r="A44">
        <f>Sheet2!J44</f>
        <v>0</v>
      </c>
      <c r="B44">
        <f>Sheet2!K44</f>
        <v>0</v>
      </c>
      <c r="C44">
        <f>Sheet2!L44</f>
        <v>0</v>
      </c>
      <c r="D44">
        <v>0</v>
      </c>
      <c r="E44" t="e">
        <f t="shared" si="2"/>
        <v>#N/A</v>
      </c>
      <c r="F44" t="e">
        <f t="shared" si="3"/>
        <v>#N/A</v>
      </c>
      <c r="K44">
        <v>42</v>
      </c>
      <c r="L44" t="s">
        <v>70</v>
      </c>
      <c r="M44" s="9" t="s">
        <v>70</v>
      </c>
      <c r="N44" s="10">
        <v>9773265329</v>
      </c>
      <c r="O44" s="9" t="s">
        <v>71</v>
      </c>
      <c r="P44" s="10">
        <v>25111533</v>
      </c>
    </row>
    <row r="45" spans="1:16" x14ac:dyDescent="0.3">
      <c r="A45">
        <f>Sheet2!J45</f>
        <v>0</v>
      </c>
      <c r="B45">
        <f>Sheet2!K45</f>
        <v>0</v>
      </c>
      <c r="C45">
        <f>Sheet2!L45</f>
        <v>0</v>
      </c>
      <c r="D45">
        <v>0</v>
      </c>
      <c r="E45" t="e">
        <f t="shared" si="2"/>
        <v>#N/A</v>
      </c>
      <c r="F45" t="e">
        <f t="shared" si="3"/>
        <v>#N/A</v>
      </c>
      <c r="K45">
        <v>43</v>
      </c>
      <c r="L45" t="s">
        <v>90</v>
      </c>
      <c r="M45" s="9" t="s">
        <v>90</v>
      </c>
      <c r="N45" s="10">
        <v>9226464409</v>
      </c>
      <c r="O45" s="9" t="s">
        <v>91</v>
      </c>
      <c r="P45" s="10">
        <v>25112306</v>
      </c>
    </row>
    <row r="46" spans="1:16" x14ac:dyDescent="0.3">
      <c r="A46">
        <f>Sheet2!J46</f>
        <v>0</v>
      </c>
      <c r="B46">
        <f>Sheet2!K46</f>
        <v>0</v>
      </c>
      <c r="C46">
        <f>Sheet2!L46</f>
        <v>0</v>
      </c>
      <c r="D46">
        <v>0</v>
      </c>
      <c r="E46" t="e">
        <f t="shared" si="2"/>
        <v>#N/A</v>
      </c>
      <c r="F46" t="e">
        <f t="shared" si="3"/>
        <v>#N/A</v>
      </c>
      <c r="K46">
        <v>44</v>
      </c>
      <c r="L46" t="s">
        <v>141</v>
      </c>
      <c r="M46" s="9" t="s">
        <v>108</v>
      </c>
      <c r="N46" s="10">
        <v>9526066338</v>
      </c>
      <c r="O46" s="9" t="s">
        <v>109</v>
      </c>
      <c r="P46" s="10">
        <v>21113011</v>
      </c>
    </row>
    <row r="47" spans="1:16" x14ac:dyDescent="0.3">
      <c r="A47">
        <f>Sheet2!J47</f>
        <v>0</v>
      </c>
      <c r="B47">
        <f>Sheet2!K47</f>
        <v>0</v>
      </c>
      <c r="C47">
        <f>Sheet2!L47</f>
        <v>0</v>
      </c>
      <c r="D47">
        <v>0</v>
      </c>
      <c r="E47" t="e">
        <f t="shared" si="2"/>
        <v>#N/A</v>
      </c>
      <c r="F47" t="e">
        <f t="shared" si="3"/>
        <v>#N/A</v>
      </c>
      <c r="K47">
        <v>45</v>
      </c>
      <c r="L47" t="s">
        <v>114</v>
      </c>
      <c r="M47" s="9" t="s">
        <v>114</v>
      </c>
      <c r="N47" s="10">
        <v>9390220625</v>
      </c>
      <c r="O47" s="9" t="s">
        <v>115</v>
      </c>
      <c r="P47" s="10">
        <v>23111423</v>
      </c>
    </row>
    <row r="48" spans="1:16" x14ac:dyDescent="0.3">
      <c r="A48">
        <f>Sheet2!J48</f>
        <v>0</v>
      </c>
      <c r="B48">
        <f>Sheet2!K48</f>
        <v>0</v>
      </c>
      <c r="C48">
        <f>Sheet2!L48</f>
        <v>0</v>
      </c>
      <c r="D48">
        <v>0</v>
      </c>
      <c r="E48" t="e">
        <f t="shared" si="2"/>
        <v>#N/A</v>
      </c>
      <c r="F48" t="e">
        <f t="shared" si="3"/>
        <v>#N/A</v>
      </c>
      <c r="K48">
        <v>46</v>
      </c>
      <c r="L48" t="s">
        <v>46</v>
      </c>
      <c r="M48" s="9" t="s">
        <v>46</v>
      </c>
      <c r="N48" s="10">
        <v>9588501055</v>
      </c>
      <c r="O48" s="9" t="s">
        <v>47</v>
      </c>
      <c r="P48" s="9"/>
    </row>
    <row r="49" spans="1:16" x14ac:dyDescent="0.3">
      <c r="A49">
        <f>Sheet2!J49</f>
        <v>0</v>
      </c>
      <c r="B49">
        <f>Sheet2!K49</f>
        <v>0</v>
      </c>
      <c r="C49">
        <f>Sheet2!L49</f>
        <v>0</v>
      </c>
      <c r="D49">
        <v>0</v>
      </c>
      <c r="E49" t="e">
        <f t="shared" si="2"/>
        <v>#N/A</v>
      </c>
      <c r="F49" t="e">
        <f t="shared" si="3"/>
        <v>#N/A</v>
      </c>
      <c r="K49">
        <v>47</v>
      </c>
      <c r="L49" t="s">
        <v>86</v>
      </c>
      <c r="M49" s="9" t="s">
        <v>86</v>
      </c>
      <c r="N49" s="10">
        <v>8789739266</v>
      </c>
      <c r="O49" s="9" t="s">
        <v>87</v>
      </c>
      <c r="P49" s="9"/>
    </row>
    <row r="50" spans="1:16" x14ac:dyDescent="0.3">
      <c r="A50">
        <f>Sheet2!J50</f>
        <v>0</v>
      </c>
      <c r="B50">
        <f>Sheet2!K50</f>
        <v>0</v>
      </c>
      <c r="C50">
        <f>Sheet2!L50</f>
        <v>0</v>
      </c>
      <c r="D50">
        <v>0</v>
      </c>
      <c r="E50" t="e">
        <f t="shared" si="2"/>
        <v>#N/A</v>
      </c>
      <c r="F50" t="e">
        <f t="shared" si="3"/>
        <v>#N/A</v>
      </c>
      <c r="K50">
        <v>48</v>
      </c>
      <c r="L50" t="s">
        <v>102</v>
      </c>
      <c r="M50" s="9" t="s">
        <v>102</v>
      </c>
      <c r="N50" s="10">
        <v>9541355388</v>
      </c>
      <c r="O50" s="9" t="s">
        <v>103</v>
      </c>
      <c r="P50" s="10">
        <v>25114045</v>
      </c>
    </row>
    <row r="51" spans="1:16" x14ac:dyDescent="0.3">
      <c r="A51">
        <f>Sheet2!J51</f>
        <v>0</v>
      </c>
      <c r="B51">
        <f>Sheet2!K51</f>
        <v>0</v>
      </c>
      <c r="C51">
        <f>Sheet2!L51</f>
        <v>0</v>
      </c>
      <c r="D51">
        <v>0</v>
      </c>
      <c r="E51" t="e">
        <f t="shared" si="2"/>
        <v>#N/A</v>
      </c>
      <c r="F51" t="e">
        <f t="shared" si="3"/>
        <v>#N/A</v>
      </c>
      <c r="K51">
        <v>49</v>
      </c>
      <c r="L51" t="s">
        <v>116</v>
      </c>
      <c r="M51" s="9" t="s">
        <v>116</v>
      </c>
      <c r="N51" s="10">
        <v>8400616871</v>
      </c>
      <c r="O51" s="9" t="s">
        <v>117</v>
      </c>
      <c r="P51" s="10">
        <v>23113120</v>
      </c>
    </row>
    <row r="52" spans="1:16" x14ac:dyDescent="0.3">
      <c r="A52">
        <f>Sheet2!J52</f>
        <v>0</v>
      </c>
      <c r="B52">
        <f>Sheet2!K52</f>
        <v>0</v>
      </c>
      <c r="C52">
        <f>Sheet2!L52</f>
        <v>0</v>
      </c>
      <c r="D52">
        <v>0</v>
      </c>
      <c r="E52" t="e">
        <f t="shared" si="2"/>
        <v>#N/A</v>
      </c>
      <c r="F52" t="e">
        <f t="shared" si="3"/>
        <v>#N/A</v>
      </c>
      <c r="K52">
        <v>50</v>
      </c>
      <c r="L52" t="s">
        <v>142</v>
      </c>
      <c r="M52" s="9" t="s">
        <v>118</v>
      </c>
      <c r="N52" s="9"/>
      <c r="O52" s="9" t="s">
        <v>82</v>
      </c>
      <c r="P52" s="11">
        <v>25111249</v>
      </c>
    </row>
    <row r="53" spans="1:16" x14ac:dyDescent="0.3">
      <c r="A53">
        <f>Sheet2!J53</f>
        <v>0</v>
      </c>
      <c r="B53">
        <f>Sheet2!K53</f>
        <v>0</v>
      </c>
      <c r="C53">
        <f>Sheet2!L53</f>
        <v>0</v>
      </c>
      <c r="D53">
        <v>0</v>
      </c>
      <c r="E53" t="e">
        <f t="shared" si="2"/>
        <v>#N/A</v>
      </c>
      <c r="F53" t="e">
        <f t="shared" si="3"/>
        <v>#N/A</v>
      </c>
    </row>
    <row r="54" spans="1:16" x14ac:dyDescent="0.3">
      <c r="A54">
        <f>Sheet2!J54</f>
        <v>0</v>
      </c>
      <c r="B54">
        <f>Sheet2!K54</f>
        <v>0</v>
      </c>
      <c r="C54">
        <f>Sheet2!L54</f>
        <v>0</v>
      </c>
      <c r="D54">
        <v>0</v>
      </c>
      <c r="E54" t="e">
        <f t="shared" si="2"/>
        <v>#N/A</v>
      </c>
      <c r="F54" t="e">
        <f t="shared" si="3"/>
        <v>#N/A</v>
      </c>
    </row>
    <row r="55" spans="1:16" x14ac:dyDescent="0.3">
      <c r="A55">
        <f>Sheet2!J55</f>
        <v>0</v>
      </c>
      <c r="B55">
        <f>Sheet2!K55</f>
        <v>0</v>
      </c>
      <c r="C55">
        <f>Sheet2!L55</f>
        <v>0</v>
      </c>
      <c r="D55">
        <v>0</v>
      </c>
      <c r="E55" t="e">
        <f t="shared" si="2"/>
        <v>#N/A</v>
      </c>
      <c r="F55" t="e">
        <f t="shared" si="3"/>
        <v>#N/A</v>
      </c>
    </row>
    <row r="56" spans="1:16" x14ac:dyDescent="0.3">
      <c r="A56">
        <f>Sheet2!J56</f>
        <v>0</v>
      </c>
      <c r="B56">
        <f>Sheet2!K56</f>
        <v>0</v>
      </c>
      <c r="C56">
        <f>Sheet2!L56</f>
        <v>0</v>
      </c>
      <c r="D56">
        <v>0</v>
      </c>
      <c r="E56" t="e">
        <f t="shared" si="2"/>
        <v>#N/A</v>
      </c>
      <c r="F56" t="e">
        <f t="shared" si="3"/>
        <v>#N/A</v>
      </c>
    </row>
    <row r="57" spans="1:16" x14ac:dyDescent="0.3">
      <c r="A57">
        <f>Sheet2!J57</f>
        <v>0</v>
      </c>
      <c r="B57">
        <f>Sheet2!K57</f>
        <v>0</v>
      </c>
      <c r="C57">
        <f>Sheet2!L57</f>
        <v>0</v>
      </c>
      <c r="D57">
        <v>0</v>
      </c>
      <c r="E57" t="e">
        <f t="shared" si="2"/>
        <v>#N/A</v>
      </c>
      <c r="F57" t="e">
        <f t="shared" si="3"/>
        <v>#N/A</v>
      </c>
    </row>
    <row r="58" spans="1:16" x14ac:dyDescent="0.3">
      <c r="A58">
        <f>Sheet2!J58</f>
        <v>0</v>
      </c>
      <c r="B58">
        <f>Sheet2!K58</f>
        <v>0</v>
      </c>
      <c r="C58">
        <f>Sheet2!L58</f>
        <v>0</v>
      </c>
      <c r="D58">
        <v>0</v>
      </c>
      <c r="E58" t="e">
        <f t="shared" si="2"/>
        <v>#N/A</v>
      </c>
      <c r="F58" t="e">
        <f t="shared" si="3"/>
        <v>#N/A</v>
      </c>
    </row>
    <row r="59" spans="1:16" x14ac:dyDescent="0.3">
      <c r="A59">
        <f>Sheet2!J59</f>
        <v>0</v>
      </c>
      <c r="B59">
        <f>Sheet2!K59</f>
        <v>0</v>
      </c>
      <c r="C59">
        <f>Sheet2!L59</f>
        <v>0</v>
      </c>
      <c r="D59">
        <v>0</v>
      </c>
      <c r="E59" t="e">
        <f t="shared" si="2"/>
        <v>#N/A</v>
      </c>
      <c r="F59" t="e">
        <f t="shared" si="3"/>
        <v>#N/A</v>
      </c>
    </row>
    <row r="60" spans="1:16" x14ac:dyDescent="0.3">
      <c r="A60">
        <f>Sheet2!J60</f>
        <v>0</v>
      </c>
      <c r="B60">
        <f>Sheet2!K60</f>
        <v>0</v>
      </c>
      <c r="C60">
        <f>Sheet2!L60</f>
        <v>0</v>
      </c>
      <c r="D60">
        <v>0</v>
      </c>
      <c r="E60" t="e">
        <f t="shared" si="2"/>
        <v>#N/A</v>
      </c>
      <c r="F60" t="e">
        <f t="shared" si="3"/>
        <v>#N/A</v>
      </c>
    </row>
    <row r="61" spans="1:16" x14ac:dyDescent="0.3">
      <c r="A61">
        <f>Sheet2!J61</f>
        <v>0</v>
      </c>
      <c r="B61">
        <f>Sheet2!K61</f>
        <v>0</v>
      </c>
      <c r="C61">
        <f>Sheet2!L61</f>
        <v>0</v>
      </c>
      <c r="D61">
        <v>0</v>
      </c>
      <c r="E61" t="e">
        <f t="shared" si="2"/>
        <v>#N/A</v>
      </c>
      <c r="F61" t="e">
        <f t="shared" si="3"/>
        <v>#N/A</v>
      </c>
    </row>
    <row r="62" spans="1:16" x14ac:dyDescent="0.3">
      <c r="A62">
        <f>Sheet2!J62</f>
        <v>0</v>
      </c>
      <c r="B62">
        <f>Sheet2!K62</f>
        <v>0</v>
      </c>
      <c r="C62">
        <f>Sheet2!L62</f>
        <v>0</v>
      </c>
      <c r="D62">
        <v>0</v>
      </c>
      <c r="E62" t="e">
        <f t="shared" si="2"/>
        <v>#N/A</v>
      </c>
      <c r="F62" t="e">
        <f t="shared" si="3"/>
        <v>#N/A</v>
      </c>
    </row>
    <row r="63" spans="1:16" x14ac:dyDescent="0.3">
      <c r="A63">
        <f>Sheet2!J63</f>
        <v>0</v>
      </c>
      <c r="B63">
        <f>Sheet2!K63</f>
        <v>0</v>
      </c>
      <c r="C63">
        <f>Sheet2!L63</f>
        <v>0</v>
      </c>
      <c r="D63">
        <v>0</v>
      </c>
      <c r="E63" t="e">
        <f t="shared" si="2"/>
        <v>#N/A</v>
      </c>
      <c r="F63" t="e">
        <f t="shared" si="3"/>
        <v>#N/A</v>
      </c>
    </row>
    <row r="64" spans="1:16" x14ac:dyDescent="0.3">
      <c r="A64">
        <f>Sheet2!J64</f>
        <v>0</v>
      </c>
      <c r="B64">
        <f>Sheet2!K64</f>
        <v>0</v>
      </c>
      <c r="C64">
        <f>Sheet2!L64</f>
        <v>0</v>
      </c>
      <c r="D64">
        <v>0</v>
      </c>
      <c r="E64" t="e">
        <f t="shared" si="2"/>
        <v>#N/A</v>
      </c>
      <c r="F64" t="e">
        <f t="shared" si="3"/>
        <v>#N/A</v>
      </c>
    </row>
    <row r="65" spans="1:6" x14ac:dyDescent="0.3">
      <c r="A65">
        <f>Sheet2!J65</f>
        <v>0</v>
      </c>
      <c r="B65">
        <f>Sheet2!K65</f>
        <v>0</v>
      </c>
      <c r="C65">
        <f>Sheet2!L65</f>
        <v>0</v>
      </c>
      <c r="D65">
        <v>0</v>
      </c>
      <c r="E65" t="e">
        <f t="shared" ref="E65:E107" si="4">VLOOKUP(B65,K$3:L$52,2,FALSE)</f>
        <v>#N/A</v>
      </c>
      <c r="F65" t="e">
        <f t="shared" ref="F65:F107" si="5">VLOOKUP(C65,K$3:L$52,2,FALSE)</f>
        <v>#N/A</v>
      </c>
    </row>
    <row r="66" spans="1:6" x14ac:dyDescent="0.3">
      <c r="A66">
        <f>Sheet2!J66</f>
        <v>0</v>
      </c>
      <c r="B66">
        <f>Sheet2!K66</f>
        <v>0</v>
      </c>
      <c r="C66">
        <f>Sheet2!L66</f>
        <v>0</v>
      </c>
      <c r="D66">
        <v>0</v>
      </c>
      <c r="E66" t="e">
        <f t="shared" si="4"/>
        <v>#N/A</v>
      </c>
      <c r="F66" t="e">
        <f t="shared" si="5"/>
        <v>#N/A</v>
      </c>
    </row>
    <row r="67" spans="1:6" x14ac:dyDescent="0.3">
      <c r="A67">
        <f>Sheet2!J67</f>
        <v>0</v>
      </c>
      <c r="B67">
        <f>Sheet2!K67</f>
        <v>0</v>
      </c>
      <c r="C67">
        <f>Sheet2!L67</f>
        <v>0</v>
      </c>
      <c r="D67">
        <v>0</v>
      </c>
      <c r="E67" t="e">
        <f t="shared" si="4"/>
        <v>#N/A</v>
      </c>
      <c r="F67" t="e">
        <f t="shared" si="5"/>
        <v>#N/A</v>
      </c>
    </row>
    <row r="68" spans="1:6" x14ac:dyDescent="0.3">
      <c r="A68">
        <f>Sheet2!J68</f>
        <v>0</v>
      </c>
      <c r="B68">
        <f>Sheet2!K68</f>
        <v>0</v>
      </c>
      <c r="C68">
        <f>Sheet2!L68</f>
        <v>0</v>
      </c>
      <c r="D68">
        <v>0</v>
      </c>
      <c r="E68" t="e">
        <f t="shared" si="4"/>
        <v>#N/A</v>
      </c>
      <c r="F68" t="e">
        <f t="shared" si="5"/>
        <v>#N/A</v>
      </c>
    </row>
    <row r="69" spans="1:6" x14ac:dyDescent="0.3">
      <c r="A69">
        <f>Sheet2!J69</f>
        <v>0</v>
      </c>
      <c r="B69">
        <f>Sheet2!K69</f>
        <v>0</v>
      </c>
      <c r="C69">
        <f>Sheet2!L69</f>
        <v>0</v>
      </c>
      <c r="D69">
        <v>0</v>
      </c>
      <c r="E69" t="e">
        <f t="shared" si="4"/>
        <v>#N/A</v>
      </c>
      <c r="F69" t="e">
        <f t="shared" si="5"/>
        <v>#N/A</v>
      </c>
    </row>
    <row r="70" spans="1:6" x14ac:dyDescent="0.3">
      <c r="A70">
        <f>Sheet2!J70</f>
        <v>0</v>
      </c>
      <c r="B70">
        <f>Sheet2!K70</f>
        <v>0</v>
      </c>
      <c r="C70">
        <f>Sheet2!L70</f>
        <v>0</v>
      </c>
      <c r="D70">
        <v>0</v>
      </c>
      <c r="E70" t="e">
        <f t="shared" si="4"/>
        <v>#N/A</v>
      </c>
      <c r="F70" t="e">
        <f t="shared" si="5"/>
        <v>#N/A</v>
      </c>
    </row>
    <row r="71" spans="1:6" x14ac:dyDescent="0.3">
      <c r="A71">
        <f>Sheet2!J71</f>
        <v>0</v>
      </c>
      <c r="B71">
        <f>Sheet2!K71</f>
        <v>0</v>
      </c>
      <c r="C71">
        <f>Sheet2!L71</f>
        <v>0</v>
      </c>
      <c r="D71">
        <v>0</v>
      </c>
      <c r="E71" t="e">
        <f t="shared" si="4"/>
        <v>#N/A</v>
      </c>
      <c r="F71" t="e">
        <f t="shared" si="5"/>
        <v>#N/A</v>
      </c>
    </row>
    <row r="72" spans="1:6" x14ac:dyDescent="0.3">
      <c r="A72">
        <f>Sheet2!J72</f>
        <v>0</v>
      </c>
      <c r="B72">
        <f>Sheet2!K72</f>
        <v>0</v>
      </c>
      <c r="C72">
        <f>Sheet2!L72</f>
        <v>0</v>
      </c>
      <c r="D72">
        <v>0</v>
      </c>
      <c r="E72" t="e">
        <f t="shared" si="4"/>
        <v>#N/A</v>
      </c>
      <c r="F72" t="e">
        <f t="shared" si="5"/>
        <v>#N/A</v>
      </c>
    </row>
    <row r="73" spans="1:6" x14ac:dyDescent="0.3">
      <c r="A73">
        <f>Sheet2!J73</f>
        <v>0</v>
      </c>
      <c r="B73">
        <f>Sheet2!K73</f>
        <v>0</v>
      </c>
      <c r="C73">
        <f>Sheet2!L73</f>
        <v>0</v>
      </c>
      <c r="D73">
        <v>0</v>
      </c>
      <c r="E73" t="e">
        <f t="shared" si="4"/>
        <v>#N/A</v>
      </c>
      <c r="F73" t="e">
        <f t="shared" si="5"/>
        <v>#N/A</v>
      </c>
    </row>
    <row r="74" spans="1:6" x14ac:dyDescent="0.3">
      <c r="A74">
        <f>Sheet2!J74</f>
        <v>0</v>
      </c>
      <c r="B74">
        <f>Sheet2!K74</f>
        <v>0</v>
      </c>
      <c r="C74">
        <f>Sheet2!L74</f>
        <v>0</v>
      </c>
      <c r="D74">
        <v>0</v>
      </c>
      <c r="E74" t="e">
        <f t="shared" si="4"/>
        <v>#N/A</v>
      </c>
      <c r="F74" t="e">
        <f t="shared" si="5"/>
        <v>#N/A</v>
      </c>
    </row>
    <row r="75" spans="1:6" x14ac:dyDescent="0.3">
      <c r="A75">
        <f>Sheet2!J75</f>
        <v>0</v>
      </c>
      <c r="B75">
        <f>Sheet2!K75</f>
        <v>0</v>
      </c>
      <c r="C75">
        <f>Sheet2!L75</f>
        <v>0</v>
      </c>
      <c r="D75">
        <v>0</v>
      </c>
      <c r="E75" t="e">
        <f t="shared" si="4"/>
        <v>#N/A</v>
      </c>
      <c r="F75" t="e">
        <f t="shared" si="5"/>
        <v>#N/A</v>
      </c>
    </row>
    <row r="76" spans="1:6" x14ac:dyDescent="0.3">
      <c r="A76">
        <f>Sheet2!J76</f>
        <v>0</v>
      </c>
      <c r="B76">
        <f>Sheet2!K76</f>
        <v>0</v>
      </c>
      <c r="C76">
        <f>Sheet2!L76</f>
        <v>0</v>
      </c>
      <c r="D76">
        <v>0</v>
      </c>
      <c r="E76" t="e">
        <f t="shared" si="4"/>
        <v>#N/A</v>
      </c>
      <c r="F76" t="e">
        <f t="shared" si="5"/>
        <v>#N/A</v>
      </c>
    </row>
    <row r="77" spans="1:6" x14ac:dyDescent="0.3">
      <c r="A77">
        <f>Sheet2!J77</f>
        <v>0</v>
      </c>
      <c r="B77">
        <f>Sheet2!K77</f>
        <v>0</v>
      </c>
      <c r="C77">
        <f>Sheet2!L77</f>
        <v>0</v>
      </c>
      <c r="D77">
        <v>0</v>
      </c>
      <c r="E77" t="e">
        <f t="shared" si="4"/>
        <v>#N/A</v>
      </c>
      <c r="F77" t="e">
        <f t="shared" si="5"/>
        <v>#N/A</v>
      </c>
    </row>
    <row r="78" spans="1:6" x14ac:dyDescent="0.3">
      <c r="A78">
        <f>Sheet2!J78</f>
        <v>0</v>
      </c>
      <c r="B78">
        <f>Sheet2!K78</f>
        <v>0</v>
      </c>
      <c r="C78">
        <f>Sheet2!L78</f>
        <v>0</v>
      </c>
      <c r="D78">
        <v>0</v>
      </c>
      <c r="E78" t="e">
        <f t="shared" si="4"/>
        <v>#N/A</v>
      </c>
      <c r="F78" t="e">
        <f t="shared" si="5"/>
        <v>#N/A</v>
      </c>
    </row>
    <row r="79" spans="1:6" x14ac:dyDescent="0.3">
      <c r="A79">
        <f>Sheet2!J79</f>
        <v>0</v>
      </c>
      <c r="B79">
        <f>Sheet2!K79</f>
        <v>0</v>
      </c>
      <c r="C79">
        <f>Sheet2!L79</f>
        <v>0</v>
      </c>
      <c r="D79">
        <v>0</v>
      </c>
      <c r="E79" t="e">
        <f t="shared" si="4"/>
        <v>#N/A</v>
      </c>
      <c r="F79" t="e">
        <f t="shared" si="5"/>
        <v>#N/A</v>
      </c>
    </row>
    <row r="80" spans="1:6" x14ac:dyDescent="0.3">
      <c r="A80">
        <f>Sheet2!J80</f>
        <v>0</v>
      </c>
      <c r="B80">
        <f>Sheet2!K80</f>
        <v>0</v>
      </c>
      <c r="C80">
        <f>Sheet2!L80</f>
        <v>0</v>
      </c>
      <c r="D80">
        <v>0</v>
      </c>
      <c r="E80" t="e">
        <f t="shared" si="4"/>
        <v>#N/A</v>
      </c>
      <c r="F80" t="e">
        <f t="shared" si="5"/>
        <v>#N/A</v>
      </c>
    </row>
    <row r="81" spans="1:6" x14ac:dyDescent="0.3">
      <c r="A81">
        <f>Sheet2!J81</f>
        <v>0</v>
      </c>
      <c r="B81">
        <f>Sheet2!K81</f>
        <v>0</v>
      </c>
      <c r="C81">
        <f>Sheet2!L81</f>
        <v>0</v>
      </c>
      <c r="D81">
        <v>0</v>
      </c>
      <c r="E81" t="e">
        <f t="shared" si="4"/>
        <v>#N/A</v>
      </c>
      <c r="F81" t="e">
        <f t="shared" si="5"/>
        <v>#N/A</v>
      </c>
    </row>
    <row r="82" spans="1:6" x14ac:dyDescent="0.3">
      <c r="A82">
        <f>Sheet2!J82</f>
        <v>0</v>
      </c>
      <c r="B82">
        <f>Sheet2!K82</f>
        <v>0</v>
      </c>
      <c r="C82">
        <f>Sheet2!L82</f>
        <v>0</v>
      </c>
      <c r="D82">
        <v>0</v>
      </c>
      <c r="E82" t="e">
        <f t="shared" si="4"/>
        <v>#N/A</v>
      </c>
      <c r="F82" t="e">
        <f t="shared" si="5"/>
        <v>#N/A</v>
      </c>
    </row>
    <row r="83" spans="1:6" x14ac:dyDescent="0.3">
      <c r="A83">
        <f>Sheet2!J83</f>
        <v>0</v>
      </c>
      <c r="B83">
        <f>Sheet2!K83</f>
        <v>0</v>
      </c>
      <c r="C83">
        <f>Sheet2!L83</f>
        <v>0</v>
      </c>
      <c r="D83">
        <v>0</v>
      </c>
      <c r="E83" t="e">
        <f t="shared" si="4"/>
        <v>#N/A</v>
      </c>
      <c r="F83" t="e">
        <f t="shared" si="5"/>
        <v>#N/A</v>
      </c>
    </row>
    <row r="84" spans="1:6" x14ac:dyDescent="0.3">
      <c r="A84">
        <f>Sheet2!J84</f>
        <v>0</v>
      </c>
      <c r="B84">
        <f>Sheet2!K84</f>
        <v>0</v>
      </c>
      <c r="C84">
        <f>Sheet2!L84</f>
        <v>0</v>
      </c>
      <c r="D84">
        <v>0</v>
      </c>
      <c r="E84" t="e">
        <f t="shared" si="4"/>
        <v>#N/A</v>
      </c>
      <c r="F84" t="e">
        <f t="shared" si="5"/>
        <v>#N/A</v>
      </c>
    </row>
    <row r="85" spans="1:6" x14ac:dyDescent="0.3">
      <c r="A85">
        <f>Sheet2!J85</f>
        <v>0</v>
      </c>
      <c r="B85">
        <f>Sheet2!K85</f>
        <v>0</v>
      </c>
      <c r="C85">
        <f>Sheet2!L85</f>
        <v>0</v>
      </c>
      <c r="D85">
        <v>0</v>
      </c>
      <c r="E85" t="e">
        <f t="shared" si="4"/>
        <v>#N/A</v>
      </c>
      <c r="F85" t="e">
        <f t="shared" si="5"/>
        <v>#N/A</v>
      </c>
    </row>
    <row r="86" spans="1:6" x14ac:dyDescent="0.3">
      <c r="A86">
        <f>Sheet2!J86</f>
        <v>0</v>
      </c>
      <c r="B86">
        <f>Sheet2!K86</f>
        <v>0</v>
      </c>
      <c r="C86">
        <f>Sheet2!L86</f>
        <v>0</v>
      </c>
      <c r="D86">
        <v>0</v>
      </c>
      <c r="E86" t="e">
        <f t="shared" si="4"/>
        <v>#N/A</v>
      </c>
      <c r="F86" t="e">
        <f t="shared" si="5"/>
        <v>#N/A</v>
      </c>
    </row>
    <row r="87" spans="1:6" x14ac:dyDescent="0.3">
      <c r="A87">
        <f>Sheet2!J87</f>
        <v>0</v>
      </c>
      <c r="B87">
        <f>Sheet2!K87</f>
        <v>0</v>
      </c>
      <c r="C87">
        <f>Sheet2!L87</f>
        <v>0</v>
      </c>
      <c r="D87">
        <v>0</v>
      </c>
      <c r="E87" t="e">
        <f t="shared" si="4"/>
        <v>#N/A</v>
      </c>
      <c r="F87" t="e">
        <f t="shared" si="5"/>
        <v>#N/A</v>
      </c>
    </row>
    <row r="88" spans="1:6" x14ac:dyDescent="0.3">
      <c r="A88">
        <f>Sheet2!J88</f>
        <v>0</v>
      </c>
      <c r="B88">
        <f>Sheet2!K88</f>
        <v>0</v>
      </c>
      <c r="C88">
        <f>Sheet2!L88</f>
        <v>0</v>
      </c>
      <c r="D88">
        <v>0</v>
      </c>
      <c r="E88" t="e">
        <f t="shared" si="4"/>
        <v>#N/A</v>
      </c>
      <c r="F88" t="e">
        <f t="shared" si="5"/>
        <v>#N/A</v>
      </c>
    </row>
    <row r="89" spans="1:6" x14ac:dyDescent="0.3">
      <c r="A89">
        <f>Sheet2!J89</f>
        <v>0</v>
      </c>
      <c r="B89">
        <f>Sheet2!K89</f>
        <v>0</v>
      </c>
      <c r="C89">
        <f>Sheet2!L89</f>
        <v>0</v>
      </c>
      <c r="D89">
        <v>0</v>
      </c>
      <c r="E89" t="e">
        <f t="shared" si="4"/>
        <v>#N/A</v>
      </c>
      <c r="F89" t="e">
        <f t="shared" si="5"/>
        <v>#N/A</v>
      </c>
    </row>
    <row r="90" spans="1:6" x14ac:dyDescent="0.3">
      <c r="A90">
        <f>Sheet2!J90</f>
        <v>0</v>
      </c>
      <c r="B90">
        <f>Sheet2!K90</f>
        <v>0</v>
      </c>
      <c r="C90">
        <f>Sheet2!L90</f>
        <v>0</v>
      </c>
      <c r="D90">
        <v>0</v>
      </c>
      <c r="E90" t="e">
        <f t="shared" si="4"/>
        <v>#N/A</v>
      </c>
      <c r="F90" t="e">
        <f t="shared" si="5"/>
        <v>#N/A</v>
      </c>
    </row>
    <row r="91" spans="1:6" x14ac:dyDescent="0.3">
      <c r="A91">
        <f>Sheet2!J91</f>
        <v>0</v>
      </c>
      <c r="B91">
        <f>Sheet2!K91</f>
        <v>0</v>
      </c>
      <c r="C91">
        <f>Sheet2!L91</f>
        <v>0</v>
      </c>
      <c r="D91">
        <v>0</v>
      </c>
      <c r="E91" t="e">
        <f t="shared" si="4"/>
        <v>#N/A</v>
      </c>
      <c r="F91" t="e">
        <f t="shared" si="5"/>
        <v>#N/A</v>
      </c>
    </row>
    <row r="92" spans="1:6" x14ac:dyDescent="0.3">
      <c r="A92">
        <f>Sheet2!J92</f>
        <v>0</v>
      </c>
      <c r="B92">
        <f>Sheet2!K92</f>
        <v>0</v>
      </c>
      <c r="C92">
        <f>Sheet2!L92</f>
        <v>0</v>
      </c>
      <c r="D92">
        <v>0</v>
      </c>
      <c r="E92" t="e">
        <f t="shared" si="4"/>
        <v>#N/A</v>
      </c>
      <c r="F92" t="e">
        <f t="shared" si="5"/>
        <v>#N/A</v>
      </c>
    </row>
    <row r="93" spans="1:6" x14ac:dyDescent="0.3">
      <c r="A93">
        <f>Sheet2!J93</f>
        <v>0</v>
      </c>
      <c r="B93">
        <f>Sheet2!K93</f>
        <v>0</v>
      </c>
      <c r="C93">
        <f>Sheet2!L93</f>
        <v>0</v>
      </c>
      <c r="D93">
        <v>0</v>
      </c>
      <c r="E93" t="e">
        <f t="shared" si="4"/>
        <v>#N/A</v>
      </c>
      <c r="F93" t="e">
        <f t="shared" si="5"/>
        <v>#N/A</v>
      </c>
    </row>
    <row r="94" spans="1:6" x14ac:dyDescent="0.3">
      <c r="A94">
        <f>Sheet2!J94</f>
        <v>0</v>
      </c>
      <c r="B94">
        <f>Sheet2!K94</f>
        <v>0</v>
      </c>
      <c r="C94">
        <f>Sheet2!L94</f>
        <v>0</v>
      </c>
      <c r="D94">
        <v>0</v>
      </c>
      <c r="E94" t="e">
        <f t="shared" si="4"/>
        <v>#N/A</v>
      </c>
      <c r="F94" t="e">
        <f t="shared" si="5"/>
        <v>#N/A</v>
      </c>
    </row>
    <row r="95" spans="1:6" x14ac:dyDescent="0.3">
      <c r="A95">
        <f>Sheet2!J95</f>
        <v>0</v>
      </c>
      <c r="B95">
        <f>Sheet2!K95</f>
        <v>0</v>
      </c>
      <c r="C95">
        <f>Sheet2!L95</f>
        <v>0</v>
      </c>
      <c r="D95">
        <v>0</v>
      </c>
      <c r="E95" t="e">
        <f t="shared" si="4"/>
        <v>#N/A</v>
      </c>
      <c r="F95" t="e">
        <f t="shared" si="5"/>
        <v>#N/A</v>
      </c>
    </row>
    <row r="96" spans="1:6" x14ac:dyDescent="0.3">
      <c r="A96">
        <f>Sheet2!J96</f>
        <v>0</v>
      </c>
      <c r="B96">
        <f>Sheet2!K96</f>
        <v>0</v>
      </c>
      <c r="C96">
        <f>Sheet2!L96</f>
        <v>0</v>
      </c>
      <c r="D96">
        <v>0</v>
      </c>
      <c r="E96" t="e">
        <f t="shared" si="4"/>
        <v>#N/A</v>
      </c>
      <c r="F96" t="e">
        <f t="shared" si="5"/>
        <v>#N/A</v>
      </c>
    </row>
    <row r="97" spans="1:6" x14ac:dyDescent="0.3">
      <c r="A97">
        <f>Sheet2!J97</f>
        <v>0</v>
      </c>
      <c r="B97">
        <f>Sheet2!K97</f>
        <v>0</v>
      </c>
      <c r="C97">
        <f>Sheet2!L97</f>
        <v>0</v>
      </c>
      <c r="D97">
        <v>0</v>
      </c>
      <c r="E97" t="e">
        <f t="shared" si="4"/>
        <v>#N/A</v>
      </c>
      <c r="F97" t="e">
        <f t="shared" si="5"/>
        <v>#N/A</v>
      </c>
    </row>
    <row r="98" spans="1:6" x14ac:dyDescent="0.3">
      <c r="A98">
        <f>Sheet2!J98</f>
        <v>0</v>
      </c>
      <c r="B98">
        <f>Sheet2!K98</f>
        <v>0</v>
      </c>
      <c r="C98">
        <f>Sheet2!L98</f>
        <v>0</v>
      </c>
      <c r="D98">
        <v>0</v>
      </c>
      <c r="E98" t="e">
        <f t="shared" si="4"/>
        <v>#N/A</v>
      </c>
      <c r="F98" t="e">
        <f t="shared" si="5"/>
        <v>#N/A</v>
      </c>
    </row>
    <row r="99" spans="1:6" x14ac:dyDescent="0.3">
      <c r="A99">
        <f>Sheet2!J99</f>
        <v>0</v>
      </c>
      <c r="B99">
        <f>Sheet2!K99</f>
        <v>0</v>
      </c>
      <c r="C99">
        <f>Sheet2!L99</f>
        <v>0</v>
      </c>
      <c r="D99">
        <v>0</v>
      </c>
      <c r="E99" t="e">
        <f t="shared" si="4"/>
        <v>#N/A</v>
      </c>
      <c r="F99" t="e">
        <f t="shared" si="5"/>
        <v>#N/A</v>
      </c>
    </row>
    <row r="100" spans="1:6" x14ac:dyDescent="0.3">
      <c r="A100">
        <f>Sheet2!J100</f>
        <v>0</v>
      </c>
      <c r="B100">
        <f>Sheet2!K100</f>
        <v>0</v>
      </c>
      <c r="C100">
        <f>Sheet2!L100</f>
        <v>0</v>
      </c>
      <c r="D100">
        <v>0</v>
      </c>
      <c r="E100" t="e">
        <f t="shared" si="4"/>
        <v>#N/A</v>
      </c>
      <c r="F100" t="e">
        <f t="shared" si="5"/>
        <v>#N/A</v>
      </c>
    </row>
    <row r="101" spans="1:6" x14ac:dyDescent="0.3">
      <c r="A101">
        <f>Sheet2!J101</f>
        <v>0</v>
      </c>
      <c r="B101">
        <f>Sheet2!K101</f>
        <v>0</v>
      </c>
      <c r="C101">
        <f>Sheet2!L101</f>
        <v>0</v>
      </c>
      <c r="D101">
        <v>0</v>
      </c>
      <c r="E101" t="e">
        <f t="shared" si="4"/>
        <v>#N/A</v>
      </c>
      <c r="F101" t="e">
        <f t="shared" si="5"/>
        <v>#N/A</v>
      </c>
    </row>
    <row r="102" spans="1:6" x14ac:dyDescent="0.3">
      <c r="A102">
        <f>Sheet2!J102</f>
        <v>0</v>
      </c>
      <c r="B102">
        <f>Sheet2!K102</f>
        <v>0</v>
      </c>
      <c r="C102">
        <f>Sheet2!L102</f>
        <v>0</v>
      </c>
      <c r="D102">
        <v>0</v>
      </c>
      <c r="E102" t="e">
        <f t="shared" si="4"/>
        <v>#N/A</v>
      </c>
      <c r="F102" t="e">
        <f t="shared" si="5"/>
        <v>#N/A</v>
      </c>
    </row>
    <row r="103" spans="1:6" x14ac:dyDescent="0.3">
      <c r="A103">
        <f>Sheet2!J103</f>
        <v>0</v>
      </c>
      <c r="B103">
        <f>Sheet2!K103</f>
        <v>0</v>
      </c>
      <c r="C103">
        <f>Sheet2!L103</f>
        <v>0</v>
      </c>
      <c r="E103" t="e">
        <f t="shared" si="4"/>
        <v>#N/A</v>
      </c>
      <c r="F103" t="e">
        <f t="shared" si="5"/>
        <v>#N/A</v>
      </c>
    </row>
    <row r="104" spans="1:6" x14ac:dyDescent="0.3">
      <c r="A104">
        <f>Sheet2!J104</f>
        <v>0</v>
      </c>
      <c r="B104">
        <f>Sheet2!K104</f>
        <v>0</v>
      </c>
      <c r="C104">
        <f>Sheet2!L104</f>
        <v>0</v>
      </c>
      <c r="E104" t="e">
        <f t="shared" si="4"/>
        <v>#N/A</v>
      </c>
      <c r="F104" t="e">
        <f t="shared" si="5"/>
        <v>#N/A</v>
      </c>
    </row>
    <row r="105" spans="1:6" x14ac:dyDescent="0.3">
      <c r="A105">
        <f>Sheet2!J105</f>
        <v>0</v>
      </c>
      <c r="B105">
        <f>Sheet2!K105</f>
        <v>0</v>
      </c>
      <c r="C105">
        <f>Sheet2!L105</f>
        <v>0</v>
      </c>
      <c r="E105" t="e">
        <f t="shared" si="4"/>
        <v>#N/A</v>
      </c>
      <c r="F105" t="e">
        <f t="shared" si="5"/>
        <v>#N/A</v>
      </c>
    </row>
    <row r="106" spans="1:6" x14ac:dyDescent="0.3">
      <c r="A106">
        <f>Sheet2!J106</f>
        <v>0</v>
      </c>
      <c r="B106">
        <f>Sheet2!K106</f>
        <v>0</v>
      </c>
      <c r="C106">
        <f>Sheet2!L106</f>
        <v>0</v>
      </c>
      <c r="E106" t="e">
        <f t="shared" si="4"/>
        <v>#N/A</v>
      </c>
      <c r="F106" t="e">
        <f t="shared" si="5"/>
        <v>#N/A</v>
      </c>
    </row>
    <row r="107" spans="1:6" x14ac:dyDescent="0.3">
      <c r="A107">
        <f>Sheet2!J107</f>
        <v>0</v>
      </c>
      <c r="B107">
        <f>Sheet2!K107</f>
        <v>0</v>
      </c>
      <c r="C107">
        <f>Sheet2!L107</f>
        <v>0</v>
      </c>
      <c r="E107" t="e">
        <f t="shared" si="4"/>
        <v>#N/A</v>
      </c>
      <c r="F107" t="e">
        <f t="shared" si="5"/>
        <v>#N/A</v>
      </c>
    </row>
  </sheetData>
  <sortState xmlns:xlrd2="http://schemas.microsoft.com/office/spreadsheetml/2017/richdata2" ref="K3:P52">
    <sortCondition ref="K3:K5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764AC-B0C2-4ECC-9BE4-66CFF230976E}">
  <dimension ref="B1:E27"/>
  <sheetViews>
    <sheetView workbookViewId="0">
      <selection activeCell="I24" sqref="I24"/>
    </sheetView>
  </sheetViews>
  <sheetFormatPr defaultRowHeight="14.4" x14ac:dyDescent="0.3"/>
  <cols>
    <col min="4" max="4" width="24.6640625" bestFit="1" customWidth="1"/>
    <col min="5" max="5" width="17.44140625" bestFit="1" customWidth="1"/>
  </cols>
  <sheetData>
    <row r="1" spans="2:5" x14ac:dyDescent="0.3">
      <c r="C1" s="6" t="s">
        <v>143</v>
      </c>
    </row>
    <row r="2" spans="2:5" x14ac:dyDescent="0.3">
      <c r="B2" s="6" t="s">
        <v>144</v>
      </c>
      <c r="C2" s="6" t="s">
        <v>145</v>
      </c>
      <c r="D2" s="6" t="s">
        <v>144</v>
      </c>
      <c r="E2" s="6" t="s">
        <v>145</v>
      </c>
    </row>
    <row r="3" spans="2:5" x14ac:dyDescent="0.3">
      <c r="B3">
        <v>43</v>
      </c>
      <c r="C3">
        <v>8</v>
      </c>
      <c r="D3" t="s">
        <v>90</v>
      </c>
      <c r="E3" t="s">
        <v>78</v>
      </c>
    </row>
    <row r="4" spans="2:5" x14ac:dyDescent="0.3">
      <c r="B4">
        <v>37</v>
      </c>
      <c r="C4">
        <v>50</v>
      </c>
      <c r="D4" t="s">
        <v>140</v>
      </c>
      <c r="E4" t="s">
        <v>142</v>
      </c>
    </row>
    <row r="5" spans="2:5" x14ac:dyDescent="0.3">
      <c r="B5">
        <v>16</v>
      </c>
      <c r="C5">
        <v>10</v>
      </c>
      <c r="D5" t="s">
        <v>60</v>
      </c>
      <c r="E5" t="s">
        <v>72</v>
      </c>
    </row>
    <row r="6" spans="2:5" x14ac:dyDescent="0.3">
      <c r="B6">
        <v>9</v>
      </c>
      <c r="C6">
        <v>44</v>
      </c>
      <c r="D6" t="s">
        <v>30</v>
      </c>
      <c r="E6" t="s">
        <v>141</v>
      </c>
    </row>
    <row r="7" spans="2:5" x14ac:dyDescent="0.3">
      <c r="B7">
        <v>6</v>
      </c>
      <c r="C7">
        <v>22</v>
      </c>
      <c r="D7" t="s">
        <v>130</v>
      </c>
      <c r="E7" t="s">
        <v>100</v>
      </c>
    </row>
    <row r="8" spans="2:5" x14ac:dyDescent="0.3">
      <c r="B8">
        <v>7</v>
      </c>
      <c r="C8">
        <v>4</v>
      </c>
      <c r="D8" t="s">
        <v>131</v>
      </c>
      <c r="E8" t="s">
        <v>128</v>
      </c>
    </row>
    <row r="9" spans="2:5" x14ac:dyDescent="0.3">
      <c r="B9">
        <v>36</v>
      </c>
      <c r="C9">
        <v>48</v>
      </c>
      <c r="D9" t="s">
        <v>104</v>
      </c>
      <c r="E9" t="s">
        <v>102</v>
      </c>
    </row>
    <row r="10" spans="2:5" x14ac:dyDescent="0.3">
      <c r="B10">
        <v>19</v>
      </c>
      <c r="C10">
        <v>20</v>
      </c>
      <c r="D10" t="s">
        <v>134</v>
      </c>
      <c r="E10" t="s">
        <v>135</v>
      </c>
    </row>
    <row r="11" spans="2:5" x14ac:dyDescent="0.3">
      <c r="B11">
        <v>42</v>
      </c>
      <c r="C11">
        <v>17</v>
      </c>
      <c r="D11" t="s">
        <v>70</v>
      </c>
      <c r="E11" t="s">
        <v>133</v>
      </c>
    </row>
    <row r="12" spans="2:5" x14ac:dyDescent="0.3">
      <c r="B12">
        <v>3</v>
      </c>
      <c r="C12">
        <v>18</v>
      </c>
      <c r="D12" t="s">
        <v>127</v>
      </c>
      <c r="E12" t="s">
        <v>68</v>
      </c>
    </row>
    <row r="13" spans="2:5" x14ac:dyDescent="0.3">
      <c r="B13">
        <v>25</v>
      </c>
      <c r="C13">
        <v>28</v>
      </c>
      <c r="D13" t="s">
        <v>64</v>
      </c>
      <c r="E13" t="s">
        <v>34</v>
      </c>
    </row>
    <row r="14" spans="2:5" x14ac:dyDescent="0.3">
      <c r="B14">
        <v>47</v>
      </c>
      <c r="C14">
        <v>33</v>
      </c>
      <c r="D14" t="s">
        <v>86</v>
      </c>
      <c r="E14" t="s">
        <v>62</v>
      </c>
    </row>
    <row r="15" spans="2:5" x14ac:dyDescent="0.3">
      <c r="B15">
        <v>11</v>
      </c>
      <c r="C15">
        <v>45</v>
      </c>
      <c r="D15" t="s">
        <v>48</v>
      </c>
      <c r="E15" t="s">
        <v>114</v>
      </c>
    </row>
    <row r="16" spans="2:5" x14ac:dyDescent="0.3">
      <c r="B16">
        <v>30</v>
      </c>
      <c r="C16">
        <v>40</v>
      </c>
      <c r="D16" t="s">
        <v>138</v>
      </c>
      <c r="E16" t="s">
        <v>56</v>
      </c>
    </row>
    <row r="17" spans="2:5" x14ac:dyDescent="0.3">
      <c r="B17">
        <v>21</v>
      </c>
      <c r="C17">
        <v>31</v>
      </c>
      <c r="D17" t="s">
        <v>122</v>
      </c>
      <c r="E17" t="s">
        <v>58</v>
      </c>
    </row>
    <row r="18" spans="2:5" x14ac:dyDescent="0.3">
      <c r="B18">
        <v>2</v>
      </c>
      <c r="C18">
        <v>24</v>
      </c>
      <c r="D18" t="s">
        <v>126</v>
      </c>
      <c r="E18" t="s">
        <v>44</v>
      </c>
    </row>
    <row r="19" spans="2:5" x14ac:dyDescent="0.3">
      <c r="B19">
        <v>38</v>
      </c>
      <c r="C19">
        <v>23</v>
      </c>
      <c r="D19" t="s">
        <v>74</v>
      </c>
      <c r="E19" t="s">
        <v>81</v>
      </c>
    </row>
    <row r="20" spans="2:5" x14ac:dyDescent="0.3">
      <c r="B20">
        <v>32</v>
      </c>
      <c r="C20">
        <v>41</v>
      </c>
      <c r="D20" t="s">
        <v>112</v>
      </c>
      <c r="E20" t="s">
        <v>75</v>
      </c>
    </row>
    <row r="21" spans="2:5" x14ac:dyDescent="0.3">
      <c r="B21">
        <v>46</v>
      </c>
      <c r="C21">
        <v>12</v>
      </c>
      <c r="D21" t="s">
        <v>46</v>
      </c>
      <c r="E21" t="s">
        <v>54</v>
      </c>
    </row>
    <row r="22" spans="2:5" x14ac:dyDescent="0.3">
      <c r="B22">
        <v>39</v>
      </c>
      <c r="C22">
        <v>26</v>
      </c>
      <c r="D22" t="s">
        <v>79</v>
      </c>
      <c r="E22" t="s">
        <v>136</v>
      </c>
    </row>
    <row r="23" spans="2:5" x14ac:dyDescent="0.3">
      <c r="B23">
        <v>1</v>
      </c>
      <c r="C23">
        <v>29</v>
      </c>
      <c r="D23" t="s">
        <v>125</v>
      </c>
      <c r="E23" t="s">
        <v>137</v>
      </c>
    </row>
    <row r="24" spans="2:5" x14ac:dyDescent="0.3">
      <c r="B24">
        <v>49</v>
      </c>
      <c r="C24">
        <v>14</v>
      </c>
      <c r="D24" t="s">
        <v>116</v>
      </c>
      <c r="E24" t="s">
        <v>132</v>
      </c>
    </row>
    <row r="25" spans="2:5" x14ac:dyDescent="0.3">
      <c r="B25">
        <v>15</v>
      </c>
      <c r="C25">
        <v>35</v>
      </c>
      <c r="D25" t="s">
        <v>38</v>
      </c>
      <c r="E25" t="s">
        <v>76</v>
      </c>
    </row>
    <row r="26" spans="2:5" x14ac:dyDescent="0.3">
      <c r="B26">
        <v>5</v>
      </c>
      <c r="C26">
        <v>13</v>
      </c>
      <c r="D26" t="s">
        <v>129</v>
      </c>
      <c r="E26" t="s">
        <v>98</v>
      </c>
    </row>
    <row r="27" spans="2:5" x14ac:dyDescent="0.3">
      <c r="B27">
        <v>34</v>
      </c>
      <c r="C27">
        <v>27</v>
      </c>
      <c r="D27" t="s">
        <v>139</v>
      </c>
      <c r="E27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Rules</vt:lpstr>
      <vt:lpstr>Sheet2</vt:lpstr>
      <vt:lpstr>Matches</vt:lpstr>
      <vt:lpstr>Round1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</dc:creator>
  <cp:lastModifiedBy>Manoj</cp:lastModifiedBy>
  <dcterms:created xsi:type="dcterms:W3CDTF">2025-09-24T07:55:18Z</dcterms:created>
  <dcterms:modified xsi:type="dcterms:W3CDTF">2025-09-29T04:49:02Z</dcterms:modified>
</cp:coreProperties>
</file>